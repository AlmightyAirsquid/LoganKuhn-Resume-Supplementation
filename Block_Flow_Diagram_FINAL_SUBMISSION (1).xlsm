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174eee9b178dc44/Documents/"/>
    </mc:Choice>
  </mc:AlternateContent>
  <xr:revisionPtr revIDLastSave="0" documentId="8_{5A58D7D7-520A-4B9D-BE9E-8CCC6E22EC1A}" xr6:coauthVersionLast="47" xr6:coauthVersionMax="47" xr10:uidLastSave="{00000000-0000-0000-0000-000000000000}"/>
  <bookViews>
    <workbookView xWindow="-28920" yWindow="1335" windowWidth="29040" windowHeight="15720" tabRatio="595" xr2:uid="{DD77A9E8-8A5F-4010-928C-43C1D29CFD34}"/>
  </bookViews>
  <sheets>
    <sheet name="Sheet1" sheetId="1" r:id="rId1"/>
  </sheets>
  <definedNames>
    <definedName name="_xleta.ABS" hidden="1" xlm="1">#NAME?</definedName>
    <definedName name="_xleta.PRODUCT" hidden="1" xlm="1">#NAME?</definedName>
    <definedName name="_xleta.SUM" hidden="1" xlm="1">#NAME?</definedName>
    <definedName name="Recycled_Input">Sheet1!$D$24:$D$33</definedName>
    <definedName name="Unreacted_Output">Sheet1!$X$27:$X$36</definedName>
  </definedNames>
  <calcPr calcId="191028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" l="1"/>
  <c r="N24" i="1"/>
  <c r="M24" i="1"/>
  <c r="N25" i="1"/>
  <c r="N30" i="1"/>
  <c r="W22" i="1"/>
  <c r="W14" i="1"/>
  <c r="AL21" i="1"/>
  <c r="AL22" i="1"/>
  <c r="AL23" i="1"/>
  <c r="AL30" i="1"/>
  <c r="AL31" i="1"/>
  <c r="AL20" i="1"/>
  <c r="AI21" i="1"/>
  <c r="AI22" i="1"/>
  <c r="AI23" i="1"/>
  <c r="AI30" i="1"/>
  <c r="AI31" i="1"/>
  <c r="AI20" i="1"/>
  <c r="AR21" i="1"/>
  <c r="AP20" i="1"/>
  <c r="AR22" i="1"/>
  <c r="AR23" i="1"/>
  <c r="AR30" i="1"/>
  <c r="AR31" i="1"/>
  <c r="AR20" i="1"/>
  <c r="AH20" i="1"/>
  <c r="AP22" i="1"/>
  <c r="AP21" i="1"/>
  <c r="AP23" i="1"/>
  <c r="AP30" i="1"/>
  <c r="AP31" i="1"/>
  <c r="AN20" i="1"/>
  <c r="AN30" i="1"/>
  <c r="AH14" i="1"/>
  <c r="AH21" i="1"/>
  <c r="AG12" i="1"/>
  <c r="AH22" i="1"/>
  <c r="AH23" i="1"/>
  <c r="Y62" i="1"/>
  <c r="I15" i="1"/>
  <c r="E55" i="1"/>
  <c r="E76" i="1"/>
  <c r="D55" i="1"/>
  <c r="E73" i="1"/>
  <c r="E74" i="1"/>
  <c r="E72" i="1"/>
  <c r="E67" i="1"/>
  <c r="E69" i="1"/>
  <c r="E70" i="1"/>
  <c r="Y78" i="1"/>
  <c r="Z71" i="1"/>
  <c r="Z72" i="1"/>
  <c r="Z73" i="1"/>
  <c r="Z74" i="1"/>
  <c r="Z75" i="1"/>
  <c r="Z70" i="1"/>
  <c r="Z54" i="1"/>
  <c r="Y79" i="1"/>
  <c r="AC77" i="1"/>
  <c r="Y75" i="1"/>
  <c r="Y74" i="1"/>
  <c r="Y73" i="1"/>
  <c r="Y72" i="1"/>
  <c r="Y71" i="1"/>
  <c r="T71" i="1"/>
  <c r="Y70" i="1"/>
  <c r="AC61" i="1"/>
  <c r="Y57" i="1"/>
  <c r="D57" i="1"/>
  <c r="F57" i="1" s="1"/>
  <c r="K69" i="1"/>
  <c r="K67" i="1"/>
  <c r="K68" i="1"/>
  <c r="K66" i="1"/>
  <c r="E56" i="1"/>
  <c r="E75" i="1" s="1"/>
  <c r="L60" i="1"/>
  <c r="E71" i="1" s="1"/>
  <c r="L59" i="1"/>
  <c r="L56" i="1"/>
  <c r="L57" i="1"/>
  <c r="E68" i="1" s="1"/>
  <c r="J56" i="1"/>
  <c r="J57" i="1"/>
  <c r="J58" i="1"/>
  <c r="J59" i="1"/>
  <c r="J60" i="1"/>
  <c r="J55" i="1"/>
  <c r="D56" i="1"/>
  <c r="D58" i="1"/>
  <c r="F58" i="1" s="1"/>
  <c r="D59" i="1"/>
  <c r="F59" i="1" s="1"/>
  <c r="D60" i="1"/>
  <c r="S45" i="1"/>
  <c r="T55" i="1"/>
  <c r="Z57" i="1"/>
  <c r="Z55" i="1"/>
  <c r="Z56" i="1"/>
  <c r="Z58" i="1"/>
  <c r="Z59" i="1"/>
  <c r="Y58" i="1"/>
  <c r="Y59" i="1"/>
  <c r="Y56" i="1"/>
  <c r="Y63" i="1"/>
  <c r="Y55" i="1"/>
  <c r="Y54" i="1"/>
  <c r="AC46" i="1"/>
  <c r="X8" i="1"/>
  <c r="L55" i="1" s="1"/>
  <c r="AB12" i="1"/>
  <c r="AB8" i="1"/>
  <c r="X13" i="1"/>
  <c r="AB11" i="1" s="1"/>
  <c r="F7" i="1"/>
  <c r="J41" i="1" s="1"/>
  <c r="R22" i="1"/>
  <c r="R23" i="1"/>
  <c r="AH25" i="1" s="1"/>
  <c r="R24" i="1"/>
  <c r="AH26" i="1" s="1"/>
  <c r="R25" i="1"/>
  <c r="AH27" i="1" s="1"/>
  <c r="R26" i="1"/>
  <c r="AH28" i="1" s="1"/>
  <c r="AP28" i="1" s="1"/>
  <c r="R27" i="1"/>
  <c r="AH29" i="1" s="1"/>
  <c r="R21" i="1"/>
  <c r="J19" i="1"/>
  <c r="J23" i="1" s="1"/>
  <c r="AK31" i="1" s="1"/>
  <c r="AO31" i="1" s="1"/>
  <c r="E46" i="1"/>
  <c r="D46" i="1"/>
  <c r="L17" i="1"/>
  <c r="L18" i="1" s="1"/>
  <c r="L13" i="1"/>
  <c r="L14" i="1" s="1"/>
  <c r="L9" i="1"/>
  <c r="L10" i="1" s="1"/>
  <c r="I16" i="1"/>
  <c r="AR27" i="1" l="1"/>
  <c r="AP27" i="1"/>
  <c r="AR25" i="1"/>
  <c r="AP25" i="1"/>
  <c r="AH24" i="1"/>
  <c r="AI14" i="1"/>
  <c r="AG31" i="1"/>
  <c r="AM31" i="1" s="1"/>
  <c r="AQ31" i="1"/>
  <c r="AR29" i="1"/>
  <c r="AL29" i="1"/>
  <c r="AP29" i="1"/>
  <c r="AI29" i="1"/>
  <c r="AR26" i="1"/>
  <c r="AI26" i="1"/>
  <c r="AL26" i="1"/>
  <c r="AP26" i="1"/>
  <c r="AL28" i="1"/>
  <c r="AL27" i="1"/>
  <c r="AL25" i="1"/>
  <c r="AI27" i="1"/>
  <c r="AI25" i="1"/>
  <c r="AR28" i="1"/>
  <c r="AI28" i="1"/>
  <c r="AN31" i="1"/>
  <c r="T21" i="1"/>
  <c r="S21" i="1"/>
  <c r="W13" i="1" s="1"/>
  <c r="F17" i="1"/>
  <c r="E34" i="1" s="1"/>
  <c r="E24" i="1" s="1"/>
  <c r="AJ24" i="1" s="1"/>
  <c r="K65" i="1"/>
  <c r="E66" i="1"/>
  <c r="AA55" i="1"/>
  <c r="AB55" i="1" s="1"/>
  <c r="AC55" i="1" s="1"/>
  <c r="AA72" i="1"/>
  <c r="AB72" i="1" s="1"/>
  <c r="AC72" i="1" s="1"/>
  <c r="Y64" i="1"/>
  <c r="AA75" i="1"/>
  <c r="AB75" i="1" s="1"/>
  <c r="AC75" i="1" s="1"/>
  <c r="AA74" i="1"/>
  <c r="AB74" i="1" s="1"/>
  <c r="AC74" i="1" s="1"/>
  <c r="AA54" i="1"/>
  <c r="AB54" i="1" s="1"/>
  <c r="AC54" i="1" s="1"/>
  <c r="AA70" i="1"/>
  <c r="Y80" i="1"/>
  <c r="Y76" i="1"/>
  <c r="AA73" i="1"/>
  <c r="AB73" i="1" s="1"/>
  <c r="AC73" i="1" s="1"/>
  <c r="AB70" i="1"/>
  <c r="AC70" i="1" s="1"/>
  <c r="AA71" i="1"/>
  <c r="AB71" i="1" s="1"/>
  <c r="AC71" i="1" s="1"/>
  <c r="F56" i="1"/>
  <c r="J61" i="1"/>
  <c r="K61" i="1" s="1"/>
  <c r="E60" i="1"/>
  <c r="E65" i="1" s="1"/>
  <c r="E77" i="1" s="1"/>
  <c r="AA59" i="1"/>
  <c r="AB59" i="1" s="1"/>
  <c r="AC59" i="1" s="1"/>
  <c r="K60" i="1"/>
  <c r="M60" i="1" s="1"/>
  <c r="K58" i="1"/>
  <c r="M58" i="1" s="1"/>
  <c r="K59" i="1"/>
  <c r="M59" i="1" s="1"/>
  <c r="K56" i="1"/>
  <c r="M56" i="1" s="1"/>
  <c r="K57" i="1"/>
  <c r="M57" i="1" s="1"/>
  <c r="K55" i="1"/>
  <c r="M55" i="1" s="1"/>
  <c r="D61" i="1"/>
  <c r="AA58" i="1"/>
  <c r="AB58" i="1" s="1"/>
  <c r="AC58" i="1" s="1"/>
  <c r="Y60" i="1"/>
  <c r="AA57" i="1"/>
  <c r="AB57" i="1" s="1"/>
  <c r="AC57" i="1" s="1"/>
  <c r="AA56" i="1"/>
  <c r="AB56" i="1" s="1"/>
  <c r="AC56" i="1" s="1"/>
  <c r="D8" i="1"/>
  <c r="D9" i="1"/>
  <c r="S43" i="1"/>
  <c r="AB9" i="1"/>
  <c r="AB10" i="1"/>
  <c r="D13" i="1"/>
  <c r="D12" i="1"/>
  <c r="D11" i="1"/>
  <c r="D10" i="1"/>
  <c r="AR24" i="1" l="1"/>
  <c r="AP24" i="1"/>
  <c r="AL24" i="1"/>
  <c r="AI24" i="1"/>
  <c r="AN24" i="1"/>
  <c r="F60" i="1"/>
  <c r="M61" i="1"/>
  <c r="AA76" i="1"/>
  <c r="AB76" i="1" s="1"/>
  <c r="AC76" i="1" s="1"/>
  <c r="F18" i="1"/>
  <c r="AA60" i="1"/>
  <c r="AB60" i="1" s="1"/>
  <c r="AC60" i="1" s="1"/>
  <c r="Y13" i="1"/>
  <c r="M11" i="1"/>
  <c r="M14" i="1" s="1"/>
  <c r="M13" i="1" s="1"/>
  <c r="M15" i="1"/>
  <c r="M18" i="1" s="1"/>
  <c r="M17" i="1" s="1"/>
  <c r="J17" i="1"/>
  <c r="J18" i="1" s="1"/>
  <c r="AG29" i="1" s="1"/>
  <c r="AS29" i="1" s="1"/>
  <c r="M7" i="1"/>
  <c r="M10" i="1" s="1"/>
  <c r="M9" i="1" s="1"/>
  <c r="J7" i="1"/>
  <c r="J16" i="1" s="1"/>
  <c r="D7" i="1"/>
  <c r="J8" i="1" l="1"/>
  <c r="AG24" i="1" s="1"/>
  <c r="AS24" i="1" s="1"/>
  <c r="J11" i="1"/>
  <c r="AM24" i="1"/>
  <c r="AK24" i="1"/>
  <c r="F55" i="1"/>
  <c r="F61" i="1" s="1"/>
  <c r="E61" i="1" s="1"/>
  <c r="M12" i="1"/>
  <c r="AG26" i="1" s="1"/>
  <c r="AS26" i="1" s="1"/>
  <c r="AG28" i="1"/>
  <c r="AS28" i="1" s="1"/>
  <c r="J15" i="1"/>
  <c r="M16" i="1"/>
  <c r="AG27" i="1" s="1"/>
  <c r="AS27" i="1" s="1"/>
  <c r="J14" i="1"/>
  <c r="J10" i="1"/>
  <c r="AG21" i="1" s="1"/>
  <c r="AS21" i="1" s="1"/>
  <c r="M8" i="1"/>
  <c r="AG25" i="1" s="1"/>
  <c r="AS25" i="1" s="1"/>
  <c r="J12" i="1"/>
  <c r="AG22" i="1" s="1"/>
  <c r="AS22" i="1" s="1"/>
  <c r="J13" i="1"/>
  <c r="AG23" i="1" s="1"/>
  <c r="AS23" i="1" s="1"/>
  <c r="J9" i="1"/>
  <c r="AQ24" i="1" l="1"/>
  <c r="AO24" i="1"/>
  <c r="J34" i="1"/>
  <c r="E25" i="1"/>
  <c r="J25" i="1" s="1"/>
  <c r="AK20" i="1" s="1"/>
  <c r="E29" i="1"/>
  <c r="E28" i="1"/>
  <c r="E26" i="1"/>
  <c r="E33" i="1"/>
  <c r="E32" i="1"/>
  <c r="E31" i="1"/>
  <c r="E30" i="1"/>
  <c r="E27" i="1"/>
  <c r="AG30" i="1" l="1"/>
  <c r="AM30" i="1" s="1"/>
  <c r="AK30" i="1"/>
  <c r="AG20" i="1"/>
  <c r="J30" i="1"/>
  <c r="AK25" i="1" s="1"/>
  <c r="AJ25" i="1"/>
  <c r="J32" i="1"/>
  <c r="AK27" i="1" s="1"/>
  <c r="AJ27" i="1"/>
  <c r="J26" i="1"/>
  <c r="N26" i="1" s="1"/>
  <c r="AK21" i="1" s="1"/>
  <c r="AJ21" i="1"/>
  <c r="J29" i="1"/>
  <c r="N29" i="1" s="1"/>
  <c r="AK23" i="1" s="1"/>
  <c r="AJ23" i="1"/>
  <c r="J31" i="1"/>
  <c r="S24" i="1" s="1"/>
  <c r="AJ26" i="1"/>
  <c r="J28" i="1"/>
  <c r="N28" i="1" s="1"/>
  <c r="AK22" i="1" s="1"/>
  <c r="AJ22" i="1"/>
  <c r="J27" i="1"/>
  <c r="AJ28" i="1"/>
  <c r="J33" i="1"/>
  <c r="AK29" i="1" s="1"/>
  <c r="AJ29" i="1"/>
  <c r="AO20" i="1"/>
  <c r="AQ20" i="1"/>
  <c r="S42" i="1"/>
  <c r="AK28" i="1" l="1"/>
  <c r="AQ28" i="1" s="1"/>
  <c r="Q7" i="1"/>
  <c r="S26" i="1" s="1"/>
  <c r="AO30" i="1"/>
  <c r="AQ30" i="1"/>
  <c r="T25" i="1"/>
  <c r="W21" i="1" s="1"/>
  <c r="J68" i="1" s="1"/>
  <c r="L68" i="1" s="1"/>
  <c r="T23" i="1"/>
  <c r="Y33" i="1" s="1"/>
  <c r="AG15" i="1"/>
  <c r="AK16" i="1" s="1"/>
  <c r="AN14" i="1"/>
  <c r="AO14" i="1"/>
  <c r="S23" i="1"/>
  <c r="S25" i="1"/>
  <c r="AQ29" i="1"/>
  <c r="AO29" i="1"/>
  <c r="AM28" i="1"/>
  <c r="AN28" i="1"/>
  <c r="AM29" i="1"/>
  <c r="AN29" i="1"/>
  <c r="S27" i="1"/>
  <c r="AK26" i="1"/>
  <c r="T24" i="1"/>
  <c r="AK44" i="1" s="1"/>
  <c r="AO23" i="1"/>
  <c r="AQ23" i="1"/>
  <c r="AK12" i="1"/>
  <c r="AN21" i="1"/>
  <c r="AM21" i="1"/>
  <c r="AO21" i="1"/>
  <c r="AQ21" i="1"/>
  <c r="T27" i="1"/>
  <c r="Y14" i="1" s="1"/>
  <c r="AQ27" i="1"/>
  <c r="AO27" i="1"/>
  <c r="AO22" i="1"/>
  <c r="AQ22" i="1"/>
  <c r="AN25" i="1"/>
  <c r="AM25" i="1"/>
  <c r="AM22" i="1"/>
  <c r="AN22" i="1"/>
  <c r="AN26" i="1"/>
  <c r="AM26" i="1"/>
  <c r="AM23" i="1"/>
  <c r="AN23" i="1"/>
  <c r="N27" i="1"/>
  <c r="AL14" i="1"/>
  <c r="AM20" i="1"/>
  <c r="AM14" i="1"/>
  <c r="AL37" i="1"/>
  <c r="AI37" i="1" s="1"/>
  <c r="AK37" i="1"/>
  <c r="AM27" i="1"/>
  <c r="AN27" i="1"/>
  <c r="AG34" i="1"/>
  <c r="AQ25" i="1"/>
  <c r="AO25" i="1"/>
  <c r="R11" i="1" l="1"/>
  <c r="T26" i="1"/>
  <c r="AO28" i="1"/>
  <c r="AK14" i="1"/>
  <c r="W19" i="1"/>
  <c r="J66" i="1" s="1"/>
  <c r="L66" i="1" s="1"/>
  <c r="AK45" i="1"/>
  <c r="AK43" i="1"/>
  <c r="Y35" i="1"/>
  <c r="AJ14" i="1"/>
  <c r="AJ15" i="1" s="1"/>
  <c r="Y30" i="1"/>
  <c r="AK15" i="1"/>
  <c r="AN15" i="1"/>
  <c r="W20" i="1"/>
  <c r="J67" i="1" s="1"/>
  <c r="L67" i="1" s="1"/>
  <c r="AN32" i="1"/>
  <c r="AG37" i="1"/>
  <c r="AH37" i="1"/>
  <c r="AQ26" i="1"/>
  <c r="AO26" i="1"/>
  <c r="T16" i="1"/>
  <c r="Y34" i="1"/>
  <c r="AL12" i="1"/>
  <c r="AK47" i="1"/>
  <c r="Y36" i="1"/>
  <c r="AH15" i="1" l="1"/>
  <c r="AK46" i="1"/>
  <c r="J69" i="1"/>
  <c r="L69" i="1" s="1"/>
  <c r="AJ12" i="1"/>
  <c r="AG39" i="1"/>
  <c r="AH39" i="1"/>
  <c r="D34" i="1"/>
  <c r="J35" i="1" l="1"/>
  <c r="I23" i="1" s="1"/>
  <c r="M29" i="1" l="1"/>
  <c r="R15" i="1" s="1"/>
  <c r="M26" i="1"/>
  <c r="R13" i="1" s="1"/>
  <c r="M27" i="1"/>
  <c r="R16" i="1" s="1"/>
  <c r="M25" i="1"/>
  <c r="R12" i="1" s="1"/>
  <c r="M28" i="1"/>
  <c r="R14" i="1" s="1"/>
  <c r="I34" i="1"/>
  <c r="D76" i="1" s="1"/>
  <c r="I32" i="1"/>
  <c r="D74" i="1" s="1"/>
  <c r="I28" i="1"/>
  <c r="D70" i="1" s="1"/>
  <c r="I27" i="1"/>
  <c r="D69" i="1" s="1"/>
  <c r="I30" i="1"/>
  <c r="D72" i="1" s="1"/>
  <c r="I25" i="1"/>
  <c r="D67" i="1" s="1"/>
  <c r="I31" i="1"/>
  <c r="D73" i="1" s="1"/>
  <c r="I29" i="1"/>
  <c r="D71" i="1" s="1"/>
  <c r="I33" i="1"/>
  <c r="D75" i="1" s="1"/>
  <c r="I26" i="1"/>
  <c r="D68" i="1" s="1"/>
  <c r="I24" i="1"/>
  <c r="D66" i="1" s="1"/>
  <c r="R17" i="1" l="1"/>
  <c r="S11" i="1" s="1"/>
  <c r="I35" i="1"/>
  <c r="D77" i="1" s="1"/>
  <c r="D65" i="1"/>
  <c r="S15" i="1" l="1"/>
  <c r="S13" i="1"/>
  <c r="S16" i="1"/>
  <c r="S12" i="1"/>
  <c r="S14" i="1"/>
  <c r="T17" i="1" l="1"/>
  <c r="S17" i="1"/>
  <c r="T11" i="1" l="1"/>
  <c r="T22" i="1" s="1"/>
  <c r="W18" i="1" s="1"/>
  <c r="W23" i="1" s="1"/>
  <c r="X22" i="1" s="1"/>
  <c r="T12" i="1"/>
  <c r="W9" i="1" s="1"/>
  <c r="Y9" i="1" s="1"/>
  <c r="AC9" i="1" s="1"/>
  <c r="T13" i="1"/>
  <c r="AN45" i="1" s="1"/>
  <c r="T14" i="1"/>
  <c r="AN46" i="1" s="1"/>
  <c r="W8" i="1"/>
  <c r="Y8" i="1" s="1"/>
  <c r="AC8" i="1" s="1"/>
  <c r="S22" i="1"/>
  <c r="S28" i="1" s="1"/>
  <c r="T15" i="1"/>
  <c r="W10" i="1" l="1"/>
  <c r="Y10" i="1" s="1"/>
  <c r="AC10" i="1" s="1"/>
  <c r="AA24" i="1" s="1"/>
  <c r="Y29" i="1"/>
  <c r="Y31" i="1"/>
  <c r="AN44" i="1"/>
  <c r="Y28" i="1"/>
  <c r="W11" i="1"/>
  <c r="Y11" i="1" s="1"/>
  <c r="AC11" i="1" s="1"/>
  <c r="AD11" i="1" s="1"/>
  <c r="AF11" i="1"/>
  <c r="AG11" i="1" s="1"/>
  <c r="AM15" i="1" s="1"/>
  <c r="AF17" i="1"/>
  <c r="Y27" i="1"/>
  <c r="AD9" i="1"/>
  <c r="AA19" i="1"/>
  <c r="W12" i="1"/>
  <c r="Y12" i="1" s="1"/>
  <c r="AC12" i="1" s="1"/>
  <c r="Y32" i="1"/>
  <c r="AN47" i="1"/>
  <c r="T28" i="1"/>
  <c r="AJ44" i="1" s="1"/>
  <c r="AN43" i="1"/>
  <c r="AA18" i="1"/>
  <c r="AD8" i="1"/>
  <c r="AA21" i="1" l="1"/>
  <c r="AC21" i="1" s="1"/>
  <c r="J65" i="1"/>
  <c r="J70" i="1" s="1"/>
  <c r="AD10" i="1"/>
  <c r="W15" i="1"/>
  <c r="AL48" i="1"/>
  <c r="Y37" i="1"/>
  <c r="AF12" i="1" s="1"/>
  <c r="AA20" i="1"/>
  <c r="AB20" i="1" s="1"/>
  <c r="AD20" i="1" s="1"/>
  <c r="AA23" i="1"/>
  <c r="AB23" i="1" s="1"/>
  <c r="AD23" i="1" s="1"/>
  <c r="AC14" i="1"/>
  <c r="AD12" i="1"/>
  <c r="AA22" i="1"/>
  <c r="AC13" i="1"/>
  <c r="AB19" i="1"/>
  <c r="AD19" i="1" s="1"/>
  <c r="AC19" i="1"/>
  <c r="AM47" i="1"/>
  <c r="AM46" i="1"/>
  <c r="AJ43" i="1"/>
  <c r="AM45" i="1"/>
  <c r="AM44" i="1"/>
  <c r="AJ47" i="1"/>
  <c r="AJ46" i="1"/>
  <c r="AJ45" i="1"/>
  <c r="AM43" i="1"/>
  <c r="AB24" i="1"/>
  <c r="AD24" i="1" s="1"/>
  <c r="AC24" i="1"/>
  <c r="S44" i="1"/>
  <c r="AB18" i="1"/>
  <c r="AD18" i="1" s="1"/>
  <c r="AC18" i="1"/>
  <c r="AB21" i="1" l="1"/>
  <c r="AD21" i="1" s="1"/>
  <c r="AD13" i="1"/>
  <c r="AD25" i="1" s="1"/>
  <c r="O47" i="1" s="1"/>
  <c r="L65" i="1"/>
  <c r="L70" i="1" s="1"/>
  <c r="X18" i="1"/>
  <c r="M65" i="1" s="1"/>
  <c r="N65" i="1" s="1"/>
  <c r="X32" i="1"/>
  <c r="M43" i="1" s="1"/>
  <c r="AD14" i="1"/>
  <c r="F16" i="1" s="1"/>
  <c r="AC20" i="1"/>
  <c r="X35" i="1"/>
  <c r="M46" i="1" s="1"/>
  <c r="X36" i="1"/>
  <c r="M47" i="1" s="1"/>
  <c r="X33" i="1"/>
  <c r="M44" i="1" s="1"/>
  <c r="X30" i="1"/>
  <c r="M41" i="1" s="1"/>
  <c r="X29" i="1"/>
  <c r="M40" i="1" s="1"/>
  <c r="AC23" i="1"/>
  <c r="X31" i="1"/>
  <c r="M42" i="1" s="1"/>
  <c r="X27" i="1"/>
  <c r="M38" i="1" s="1"/>
  <c r="Y39" i="1"/>
  <c r="O39" i="1" s="1"/>
  <c r="X34" i="1"/>
  <c r="M45" i="1" s="1"/>
  <c r="U36" i="1"/>
  <c r="X28" i="1"/>
  <c r="AC22" i="1"/>
  <c r="AB22" i="1"/>
  <c r="AD22" i="1" s="1"/>
  <c r="F15" i="1"/>
  <c r="G72" i="1" s="1"/>
  <c r="E18" i="1"/>
  <c r="X21" i="1"/>
  <c r="M68" i="1" s="1"/>
  <c r="N68" i="1" s="1"/>
  <c r="AB46" i="1"/>
  <c r="AB44" i="1" s="1"/>
  <c r="O45" i="1" s="1"/>
  <c r="X19" i="1"/>
  <c r="M66" i="1" s="1"/>
  <c r="N66" i="1" s="1"/>
  <c r="X20" i="1"/>
  <c r="M67" i="1" s="1"/>
  <c r="N67" i="1" s="1"/>
  <c r="Z62" i="1"/>
  <c r="Z78" i="1" s="1"/>
  <c r="AA78" i="1" s="1"/>
  <c r="AB78" i="1" s="1"/>
  <c r="AC78" i="1" s="1"/>
  <c r="M69" i="1"/>
  <c r="N69" i="1" s="1"/>
  <c r="Y45" i="1"/>
  <c r="U33" i="1"/>
  <c r="X38" i="1"/>
  <c r="AJ48" i="1"/>
  <c r="S47" i="1"/>
  <c r="R44" i="1" s="1"/>
  <c r="AA62" i="1" l="1"/>
  <c r="AB62" i="1" s="1"/>
  <c r="AC62" i="1" s="1"/>
  <c r="AD26" i="1"/>
  <c r="U34" i="1" s="1"/>
  <c r="X37" i="1"/>
  <c r="E7" i="1"/>
  <c r="O41" i="1" s="1"/>
  <c r="E17" i="1"/>
  <c r="AB43" i="1"/>
  <c r="O44" i="1" s="1"/>
  <c r="Y42" i="1" a="1"/>
  <c r="Y42" i="1" s="1"/>
  <c r="N70" i="1"/>
  <c r="X23" i="1"/>
  <c r="M70" i="1"/>
  <c r="AB42" i="1"/>
  <c r="O43" i="1" s="1"/>
  <c r="AB45" i="1"/>
  <c r="O46" i="1" s="1"/>
  <c r="AB41" i="1"/>
  <c r="O42" i="1" s="1"/>
  <c r="R43" i="1"/>
  <c r="R45" i="1"/>
  <c r="R46" i="1"/>
  <c r="U35" i="1"/>
  <c r="V45" i="1"/>
  <c r="Z63" i="1"/>
  <c r="R42" i="1"/>
  <c r="V42" i="1" l="1"/>
  <c r="J40" i="1" s="1"/>
  <c r="U37" i="1"/>
  <c r="F19" i="1" s="1"/>
  <c r="O40" i="1" s="1"/>
  <c r="E13" i="1"/>
  <c r="E10" i="1"/>
  <c r="E8" i="1"/>
  <c r="E9" i="1"/>
  <c r="E11" i="1"/>
  <c r="E12" i="1"/>
  <c r="R47" i="1"/>
  <c r="AA63" i="1"/>
  <c r="Z79" i="1"/>
  <c r="AA79" i="1" s="1"/>
  <c r="AB79" i="1" l="1"/>
  <c r="AC79" i="1" s="1"/>
  <c r="AA80" i="1"/>
  <c r="AB80" i="1" s="1"/>
  <c r="AB63" i="1"/>
  <c r="AC63" i="1" s="1"/>
  <c r="AA64" i="1"/>
  <c r="AB64" i="1" s="1"/>
  <c r="T63" i="1" s="1"/>
  <c r="T64" i="1" l="1"/>
  <c r="AC64" i="1"/>
  <c r="AC80" i="1"/>
  <c r="T79" i="1"/>
  <c r="T8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<sst xmlns="http://schemas.openxmlformats.org/spreadsheetml/2006/main" count="475" uniqueCount="201">
  <si>
    <t>O MM:</t>
  </si>
  <si>
    <t>C MM:</t>
  </si>
  <si>
    <t>Stream Variables Mass (g)</t>
  </si>
  <si>
    <t>Charge Stream Composition</t>
  </si>
  <si>
    <t>%comp by mass</t>
  </si>
  <si>
    <t>Reactor Outlet Stream Composition</t>
  </si>
  <si>
    <t>RR:</t>
  </si>
  <si>
    <t>%comp</t>
  </si>
  <si>
    <t>Mass (1k kg)</t>
  </si>
  <si>
    <t>Mass (g)</t>
  </si>
  <si>
    <t>Slag Reacted Reagents</t>
  </si>
  <si>
    <t>Slag Production Line:</t>
  </si>
  <si>
    <t>Charge Stream:</t>
  </si>
  <si>
    <t>Pig Iron Stream</t>
  </si>
  <si>
    <t>Cr Stream</t>
  </si>
  <si>
    <t>Fe(total):</t>
  </si>
  <si>
    <t>Species</t>
  </si>
  <si>
    <t>Mol. Mass</t>
  </si>
  <si>
    <t>Mol.</t>
  </si>
  <si>
    <t>Mass</t>
  </si>
  <si>
    <t>Pig Iron Charge:</t>
  </si>
  <si>
    <t>C:</t>
  </si>
  <si>
    <t>Cr:</t>
  </si>
  <si>
    <t>CO</t>
  </si>
  <si>
    <t>Lime Charge:</t>
  </si>
  <si>
    <t>Si:</t>
  </si>
  <si>
    <t>Inerts:</t>
  </si>
  <si>
    <t>Unreacted Reagents</t>
  </si>
  <si>
    <t>SiO2</t>
  </si>
  <si>
    <t>Chromium Charge:</t>
  </si>
  <si>
    <t>P:</t>
  </si>
  <si>
    <t>Total:</t>
  </si>
  <si>
    <t>1st-pass% (of %comp):</t>
  </si>
  <si>
    <t>%corrected</t>
  </si>
  <si>
    <t>Ca3(PO4)2</t>
  </si>
  <si>
    <t>Nickel  Charge:</t>
  </si>
  <si>
    <t>Fe:</t>
  </si>
  <si>
    <t>Ni Stream</t>
  </si>
  <si>
    <t>Total</t>
  </si>
  <si>
    <t>S:</t>
  </si>
  <si>
    <t>SO2</t>
  </si>
  <si>
    <t>CF</t>
  </si>
  <si>
    <t>R</t>
  </si>
  <si>
    <t>sigma R_i</t>
  </si>
  <si>
    <t>sigma k_i(R_i+CF_i)</t>
  </si>
  <si>
    <t>Molybdenum Charge:</t>
  </si>
  <si>
    <t>Ni:</t>
  </si>
  <si>
    <t>Mn:</t>
  </si>
  <si>
    <t>MnO</t>
  </si>
  <si>
    <t>Oxygen Charge:</t>
  </si>
  <si>
    <t>O2:</t>
  </si>
  <si>
    <t>k_Fe</t>
  </si>
  <si>
    <t>CF_O</t>
  </si>
  <si>
    <t>sigma k_iF_i</t>
  </si>
  <si>
    <t>sigma F_i</t>
  </si>
  <si>
    <t>sigma CF_i</t>
  </si>
  <si>
    <t>sigma k_iCF_i</t>
  </si>
  <si>
    <t>Reactor Outlet:</t>
  </si>
  <si>
    <t>Ti:</t>
  </si>
  <si>
    <t>CaO:</t>
  </si>
  <si>
    <t>Total (w/o CO):</t>
  </si>
  <si>
    <t>SS316 Product Outlet:</t>
  </si>
  <si>
    <t>Mo Stream</t>
  </si>
  <si>
    <t>CF:</t>
  </si>
  <si>
    <t>Slag Product Outlet:</t>
  </si>
  <si>
    <t>Mo:</t>
  </si>
  <si>
    <t>SS316:</t>
  </si>
  <si>
    <t>Reactants Expended:</t>
  </si>
  <si>
    <t>Reactants Left:</t>
  </si>
  <si>
    <t>Recycled Stream:</t>
  </si>
  <si>
    <t>Lime Stream:</t>
  </si>
  <si>
    <t>N/A</t>
  </si>
  <si>
    <t>Net Flow Rate:</t>
  </si>
  <si>
    <t>Net Flow Rate Check:</t>
  </si>
  <si>
    <t>Material Mass (g)</t>
  </si>
  <si>
    <t>Spcy</t>
  </si>
  <si>
    <t>CF_i</t>
  </si>
  <si>
    <t>k</t>
  </si>
  <si>
    <t>1-k</t>
  </si>
  <si>
    <t>F_i</t>
  </si>
  <si>
    <t>k_Fe-k_i</t>
  </si>
  <si>
    <t>R_i+CF_i</t>
  </si>
  <si>
    <t>k_i*R_i</t>
  </si>
  <si>
    <t>k_iF_i</t>
  </si>
  <si>
    <t>k_Fe/(kFeki)</t>
  </si>
  <si>
    <t>k_i/k_Fe</t>
  </si>
  <si>
    <t>R_i Calc</t>
  </si>
  <si>
    <t>Rxn. Eff.</t>
  </si>
  <si>
    <t>1-Eff</t>
  </si>
  <si>
    <t>Reacted</t>
  </si>
  <si>
    <t>Unreacted</t>
  </si>
  <si>
    <t>Feed Recycled Stream Composition:</t>
  </si>
  <si>
    <t>Reactor Entry Stream Composition</t>
  </si>
  <si>
    <t xml:space="preserve"> Pig Iron% (Within RES)</t>
  </si>
  <si>
    <t>O2</t>
  </si>
  <si>
    <t>Reactor Recycled Stream:</t>
  </si>
  <si>
    <t>Total Slag Product Stream Mass:</t>
  </si>
  <si>
    <t>w/o CO:</t>
  </si>
  <si>
    <t xml:space="preserve">Total: </t>
  </si>
  <si>
    <t>Key:</t>
  </si>
  <si>
    <t>Change This</t>
  </si>
  <si>
    <t>First:</t>
  </si>
  <si>
    <t>To alter the Recycle Ratio</t>
  </si>
  <si>
    <t>I</t>
  </si>
  <si>
    <t>Flow Rate Check:</t>
  </si>
  <si>
    <t>Input Values</t>
  </si>
  <si>
    <t>And Copy This</t>
  </si>
  <si>
    <t>To This</t>
  </si>
  <si>
    <t>Flow Rate</t>
  </si>
  <si>
    <t>Second:</t>
  </si>
  <si>
    <t>… or press Ctrl + Shift + R</t>
  </si>
  <si>
    <t>Copy this</t>
  </si>
  <si>
    <t>To this</t>
  </si>
  <si>
    <t>and this</t>
  </si>
  <si>
    <t>To alter the new net Flow Rate</t>
  </si>
  <si>
    <t>%diffCalc</t>
  </si>
  <si>
    <t>Purge Stream:</t>
  </si>
  <si>
    <t>…or press Ctrl+Shift+I</t>
  </si>
  <si>
    <t>(Make sure to enable Macros)</t>
  </si>
  <si>
    <t>Feed Recycled Stream vs. Reactor Recycled Stream % Difference</t>
  </si>
  <si>
    <t>Until This…</t>
  </si>
  <si>
    <t>Is very small</t>
  </si>
  <si>
    <t>And if you'd like:</t>
  </si>
  <si>
    <t>a</t>
  </si>
  <si>
    <t>b</t>
  </si>
  <si>
    <t>c</t>
  </si>
  <si>
    <t>T</t>
  </si>
  <si>
    <t>S</t>
  </si>
  <si>
    <t>Copy This</t>
  </si>
  <si>
    <t>To Input Vals</t>
  </si>
  <si>
    <t>Misc. %Diff</t>
  </si>
  <si>
    <t>RR</t>
  </si>
  <si>
    <t>First Pass Conversion</t>
  </si>
  <si>
    <t>Initial (%)</t>
  </si>
  <si>
    <t>Final (%)</t>
  </si>
  <si>
    <t>First-Pass</t>
  </si>
  <si>
    <t>1/First-Pass</t>
  </si>
  <si>
    <t>Further Flow Analysis</t>
  </si>
  <si>
    <t>UA vs. A RR:</t>
  </si>
  <si>
    <t>UA Recycle Ratio:</t>
  </si>
  <si>
    <t>SS316 Template:</t>
  </si>
  <si>
    <t>Carbon</t>
  </si>
  <si>
    <t>Products:</t>
  </si>
  <si>
    <t>Flow Rate:</t>
  </si>
  <si>
    <t>Sulfur</t>
  </si>
  <si>
    <t>Input:</t>
  </si>
  <si>
    <t>Charge Mass:</t>
  </si>
  <si>
    <t>Slag  Product (g):</t>
  </si>
  <si>
    <t>SS316 Tot. Similarity:</t>
  </si>
  <si>
    <t>To Recylcled Stream Math:</t>
  </si>
  <si>
    <t>Silicon</t>
  </si>
  <si>
    <t>SS316 C:</t>
  </si>
  <si>
    <t>Inert:</t>
  </si>
  <si>
    <t>Manganese</t>
  </si>
  <si>
    <t>SS316 Cr:</t>
  </si>
  <si>
    <t>Phosphorus</t>
  </si>
  <si>
    <t>SS316 Ni:</t>
  </si>
  <si>
    <t>CO:</t>
  </si>
  <si>
    <t>Purge Stream (g):</t>
  </si>
  <si>
    <t>SS316 Tot. Mass (g):</t>
  </si>
  <si>
    <t>Iron</t>
  </si>
  <si>
    <t>&lt;-Iron's mass stays the same</t>
  </si>
  <si>
    <t>SS316 Mo:</t>
  </si>
  <si>
    <t>SS316 Fe:</t>
  </si>
  <si>
    <t>Slag Product:</t>
  </si>
  <si>
    <t>%sum:</t>
  </si>
  <si>
    <t>Tot Sum:</t>
  </si>
  <si>
    <t>Atom Economy:</t>
  </si>
  <si>
    <t>Normal Process Economy (per day basis):</t>
  </si>
  <si>
    <t>Upsale:</t>
  </si>
  <si>
    <t>Costs Analysis</t>
  </si>
  <si>
    <t>Pig Iron Composition:</t>
  </si>
  <si>
    <t>Conversions:</t>
  </si>
  <si>
    <t>Price (USD)</t>
  </si>
  <si>
    <t>Per Unit</t>
  </si>
  <si>
    <t>Per Unit (g)</t>
  </si>
  <si>
    <t>Mass Req</t>
  </si>
  <si>
    <t>Cost</t>
  </si>
  <si>
    <t>Upscaled</t>
  </si>
  <si>
    <t>Upsc./year</t>
  </si>
  <si>
    <t>Moles</t>
  </si>
  <si>
    <t>%Mass</t>
  </si>
  <si>
    <t>Tot. Mass</t>
  </si>
  <si>
    <t>Ton -&gt;Kg-&gt; Grams</t>
  </si>
  <si>
    <t>Pig Iron:</t>
  </si>
  <si>
    <t>ton</t>
  </si>
  <si>
    <t>Lime:</t>
  </si>
  <si>
    <t>kg</t>
  </si>
  <si>
    <t>Startup Costs:</t>
  </si>
  <si>
    <t>g</t>
  </si>
  <si>
    <t>Totals:</t>
  </si>
  <si>
    <t>Produced</t>
  </si>
  <si>
    <t>Revenue</t>
  </si>
  <si>
    <t>Reactor Entry Stream:</t>
  </si>
  <si>
    <t>SS316 Composition:</t>
  </si>
  <si>
    <t>Profit:</t>
  </si>
  <si>
    <t>Slag:</t>
  </si>
  <si>
    <t>%Comp</t>
  </si>
  <si>
    <t>Weighted MM</t>
  </si>
  <si>
    <t>Yearly (USD):</t>
  </si>
  <si>
    <t>Aspiratory  Process Economy (per day basis):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</si>
</sst>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&quot;$&quot;#,##0.00"/>
    <numFmt numFmtId="166" formatCode="&quot;$&quot;#,##0.0000000"/>
    <numFmt numFmtId="167" formatCode="0.00000%"/>
  </numFmts>
  <fonts count="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5" fillId="3" borderId="1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11" applyNumberFormat="0" applyFont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99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3" borderId="7" xfId="4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6" borderId="5" xfId="7" applyFont="1" applyBorder="1"/>
    <xf numFmtId="0" fontId="0" fillId="5" borderId="0" xfId="6" applyFont="1" applyBorder="1"/>
    <xf numFmtId="0" fontId="0" fillId="4" borderId="5" xfId="5" applyFont="1" applyBorder="1"/>
    <xf numFmtId="0" fontId="4" fillId="2" borderId="2" xfId="3" applyBorder="1"/>
    <xf numFmtId="164" fontId="0" fillId="0" borderId="6" xfId="0" applyNumberFormat="1" applyBorder="1"/>
    <xf numFmtId="10" fontId="0" fillId="0" borderId="10" xfId="0" applyNumberFormat="1" applyBorder="1"/>
    <xf numFmtId="0" fontId="3" fillId="0" borderId="9" xfId="2" applyBorder="1"/>
    <xf numFmtId="10" fontId="1" fillId="4" borderId="6" xfId="5" applyNumberFormat="1" applyBorder="1"/>
    <xf numFmtId="0" fontId="1" fillId="9" borderId="2" xfId="10" applyBorder="1"/>
    <xf numFmtId="0" fontId="1" fillId="9" borderId="4" xfId="10" applyBorder="1"/>
    <xf numFmtId="0" fontId="1" fillId="9" borderId="8" xfId="10" applyBorder="1"/>
    <xf numFmtId="10" fontId="1" fillId="9" borderId="10" xfId="10" applyNumberFormat="1" applyBorder="1"/>
    <xf numFmtId="0" fontId="1" fillId="9" borderId="10" xfId="10" applyBorder="1"/>
    <xf numFmtId="10" fontId="0" fillId="0" borderId="3" xfId="1" applyNumberFormat="1" applyFont="1" applyBorder="1"/>
    <xf numFmtId="10" fontId="0" fillId="0" borderId="3" xfId="0" applyNumberFormat="1" applyBorder="1"/>
    <xf numFmtId="10" fontId="0" fillId="0" borderId="0" xfId="1" applyNumberFormat="1" applyFont="1" applyBorder="1"/>
    <xf numFmtId="10" fontId="2" fillId="0" borderId="0" xfId="1" applyNumberFormat="1" applyFont="1" applyBorder="1"/>
    <xf numFmtId="164" fontId="0" fillId="0" borderId="0" xfId="0" applyNumberFormat="1"/>
    <xf numFmtId="9" fontId="0" fillId="0" borderId="0" xfId="0" applyNumberFormat="1"/>
    <xf numFmtId="164" fontId="1" fillId="6" borderId="0" xfId="7" applyNumberFormat="1" applyBorder="1"/>
    <xf numFmtId="0" fontId="2" fillId="0" borderId="0" xfId="0" applyFont="1"/>
    <xf numFmtId="0" fontId="2" fillId="0" borderId="0" xfId="0" applyFont="1" applyAlignment="1">
      <alignment horizontal="center"/>
    </xf>
    <xf numFmtId="10" fontId="1" fillId="4" borderId="10" xfId="5" applyNumberFormat="1" applyBorder="1"/>
    <xf numFmtId="10" fontId="0" fillId="0" borderId="9" xfId="0" applyNumberFormat="1" applyBorder="1"/>
    <xf numFmtId="0" fontId="1" fillId="10" borderId="12" xfId="11" applyBorder="1"/>
    <xf numFmtId="0" fontId="1" fillId="10" borderId="2" xfId="11" applyBorder="1"/>
    <xf numFmtId="0" fontId="1" fillId="8" borderId="2" xfId="9" applyBorder="1"/>
    <xf numFmtId="0" fontId="1" fillId="10" borderId="4" xfId="11" applyBorder="1"/>
    <xf numFmtId="0" fontId="1" fillId="6" borderId="5" xfId="7" applyBorder="1"/>
    <xf numFmtId="0" fontId="1" fillId="5" borderId="0" xfId="6"/>
    <xf numFmtId="0" fontId="0" fillId="0" borderId="6" xfId="0" applyBorder="1" applyAlignment="1">
      <alignment wrapText="1"/>
    </xf>
    <xf numFmtId="0" fontId="0" fillId="7" borderId="13" xfId="8" applyFont="1" applyBorder="1"/>
    <xf numFmtId="0" fontId="5" fillId="3" borderId="14" xfId="4" applyBorder="1"/>
    <xf numFmtId="0" fontId="0" fillId="0" borderId="10" xfId="0" applyBorder="1" applyAlignment="1">
      <alignment wrapText="1"/>
    </xf>
    <xf numFmtId="0" fontId="3" fillId="0" borderId="10" xfId="2" applyBorder="1"/>
    <xf numFmtId="10" fontId="0" fillId="0" borderId="3" xfId="1" applyNumberFormat="1" applyFont="1" applyBorder="1" applyAlignment="1"/>
    <xf numFmtId="10" fontId="0" fillId="0" borderId="6" xfId="0" applyNumberFormat="1" applyBorder="1"/>
    <xf numFmtId="10" fontId="0" fillId="0" borderId="9" xfId="1" applyNumberFormat="1" applyFont="1" applyBorder="1"/>
    <xf numFmtId="0" fontId="2" fillId="0" borderId="6" xfId="0" applyFont="1" applyBorder="1"/>
    <xf numFmtId="10" fontId="0" fillId="0" borderId="5" xfId="1" applyNumberFormat="1" applyFont="1" applyBorder="1"/>
    <xf numFmtId="10" fontId="0" fillId="0" borderId="8" xfId="1" applyNumberFormat="1" applyFont="1" applyBorder="1"/>
    <xf numFmtId="0" fontId="0" fillId="0" borderId="16" xfId="0" applyBorder="1"/>
    <xf numFmtId="0" fontId="1" fillId="8" borderId="10" xfId="9" applyBorder="1"/>
    <xf numFmtId="164" fontId="0" fillId="0" borderId="8" xfId="0" applyNumberFormat="1" applyBorder="1"/>
    <xf numFmtId="0" fontId="0" fillId="0" borderId="18" xfId="0" applyBorder="1"/>
    <xf numFmtId="10" fontId="0" fillId="0" borderId="18" xfId="0" applyNumberFormat="1" applyBorder="1"/>
    <xf numFmtId="0" fontId="0" fillId="0" borderId="17" xfId="0" applyBorder="1"/>
    <xf numFmtId="0" fontId="0" fillId="0" borderId="15" xfId="0" applyBorder="1"/>
    <xf numFmtId="10" fontId="0" fillId="0" borderId="15" xfId="0" applyNumberFormat="1" applyBorder="1"/>
    <xf numFmtId="0" fontId="0" fillId="0" borderId="12" xfId="0" applyBorder="1"/>
    <xf numFmtId="0" fontId="0" fillId="7" borderId="11" xfId="8" applyFont="1"/>
    <xf numFmtId="0" fontId="5" fillId="3" borderId="19" xfId="4" applyBorder="1"/>
    <xf numFmtId="0" fontId="1" fillId="12" borderId="2" xfId="13" applyBorder="1"/>
    <xf numFmtId="0" fontId="1" fillId="12" borderId="4" xfId="13" applyBorder="1"/>
    <xf numFmtId="0" fontId="1" fillId="12" borderId="8" xfId="13" applyBorder="1"/>
    <xf numFmtId="0" fontId="1" fillId="12" borderId="10" xfId="13" applyBorder="1"/>
    <xf numFmtId="0" fontId="1" fillId="11" borderId="6" xfId="12" applyBorder="1"/>
    <xf numFmtId="165" fontId="0" fillId="0" borderId="0" xfId="0" applyNumberFormat="1"/>
    <xf numFmtId="166" fontId="0" fillId="0" borderId="0" xfId="0" applyNumberFormat="1"/>
    <xf numFmtId="165" fontId="0" fillId="0" borderId="6" xfId="0" applyNumberFormat="1" applyBorder="1"/>
    <xf numFmtId="166" fontId="0" fillId="0" borderId="9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20" xfId="0" applyBorder="1"/>
    <xf numFmtId="0" fontId="0" fillId="0" borderId="21" xfId="0" applyBorder="1"/>
    <xf numFmtId="165" fontId="1" fillId="12" borderId="4" xfId="13" applyNumberFormat="1" applyBorder="1"/>
    <xf numFmtId="0" fontId="0" fillId="12" borderId="8" xfId="13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8" xfId="0" applyFont="1" applyBorder="1"/>
    <xf numFmtId="0" fontId="4" fillId="2" borderId="0" xfId="3"/>
    <xf numFmtId="11" fontId="1" fillId="12" borderId="10" xfId="13" applyNumberFormat="1" applyBorder="1"/>
    <xf numFmtId="0" fontId="0" fillId="0" borderId="0" xfId="1" applyNumberFormat="1" applyFont="1"/>
    <xf numFmtId="164" fontId="0" fillId="5" borderId="0" xfId="6" applyNumberFormat="1" applyFont="1" applyBorder="1"/>
    <xf numFmtId="0" fontId="2" fillId="0" borderId="0" xfId="1" applyNumberFormat="1" applyFont="1" applyBorder="1"/>
    <xf numFmtId="167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14">
    <cellStyle name="20% - Accent1" xfId="12" builtinId="30"/>
    <cellStyle name="20% - Accent4" xfId="5" builtinId="42"/>
    <cellStyle name="20% - Accent5" xfId="6" builtinId="46"/>
    <cellStyle name="20% - Accent6" xfId="7" builtinId="50"/>
    <cellStyle name="40% - Accent1" xfId="13" builtinId="31"/>
    <cellStyle name="40% - Accent3" xfId="9" builtinId="39"/>
    <cellStyle name="40% - Accent4" xfId="10" builtinId="43"/>
    <cellStyle name="40% - Accent5" xfId="11" builtinId="47"/>
    <cellStyle name="Heading 4" xfId="2" builtinId="19"/>
    <cellStyle name="Input" xfId="4" builtinId="20"/>
    <cellStyle name="Neutral" xfId="3" builtinId="28"/>
    <cellStyle name="Normal" xfId="0" builtinId="0"/>
    <cellStyle name="Note" xfId="8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1215D-57A8-46A5-BBC5-449693167055}">
  <sheetPr codeName="Sheet1"/>
  <dimension ref="B4:AS80"/>
  <sheetViews>
    <sheetView tabSelected="1" zoomScale="91" zoomScaleNormal="85" workbookViewId="0">
      <selection activeCell="N52" sqref="N52"/>
    </sheetView>
  </sheetViews>
  <sheetFormatPr defaultRowHeight="15"/>
  <cols>
    <col min="3" max="3" width="15.7109375" customWidth="1"/>
    <col min="4" max="4" width="9.7109375" bestFit="1" customWidth="1"/>
    <col min="5" max="5" width="11.28515625" customWidth="1"/>
    <col min="6" max="6" width="9.28515625" bestFit="1" customWidth="1"/>
    <col min="7" max="7" width="11.7109375" customWidth="1"/>
    <col min="8" max="8" width="14.42578125" bestFit="1" customWidth="1"/>
    <col min="9" max="9" width="11.28515625" customWidth="1"/>
    <col min="10" max="10" width="9.28515625" bestFit="1" customWidth="1"/>
    <col min="11" max="11" width="9.7109375" customWidth="1"/>
    <col min="12" max="12" width="9.42578125" style="1" bestFit="1" customWidth="1"/>
    <col min="13" max="13" width="13.28515625" bestFit="1" customWidth="1"/>
    <col min="14" max="14" width="12.42578125" customWidth="1"/>
    <col min="15" max="15" width="9.140625" customWidth="1"/>
    <col min="16" max="16" width="9.28515625" customWidth="1"/>
    <col min="17" max="17" width="9.42578125" style="2" bestFit="1" customWidth="1"/>
    <col min="18" max="18" width="12.7109375" customWidth="1"/>
    <col min="19" max="19" width="11.7109375" customWidth="1"/>
    <col min="20" max="20" width="12" bestFit="1" customWidth="1"/>
    <col min="21" max="21" width="9.42578125" customWidth="1"/>
    <col min="22" max="22" width="9" bestFit="1" customWidth="1"/>
    <col min="23" max="23" width="10.7109375" customWidth="1"/>
    <col min="24" max="24" width="10.28515625" bestFit="1" customWidth="1"/>
    <col min="25" max="25" width="12.42578125" bestFit="1" customWidth="1"/>
    <col min="26" max="26" width="11.140625" bestFit="1" customWidth="1"/>
    <col min="27" max="27" width="11.5703125" customWidth="1"/>
    <col min="28" max="28" width="13.28515625" customWidth="1"/>
    <col min="29" max="29" width="18.7109375" customWidth="1"/>
    <col min="30" max="30" width="13.28515625" bestFit="1" customWidth="1"/>
    <col min="32" max="32" width="11.7109375" customWidth="1"/>
    <col min="33" max="33" width="13.7109375" customWidth="1"/>
    <col min="34" max="34" width="11.5703125" customWidth="1"/>
    <col min="35" max="35" width="9" bestFit="1" customWidth="1"/>
    <col min="36" max="36" width="10.5703125" customWidth="1"/>
    <col min="37" max="37" width="12.42578125" bestFit="1" customWidth="1"/>
    <col min="38" max="38" width="9.7109375" customWidth="1"/>
    <col min="39" max="39" width="12.42578125" bestFit="1" customWidth="1"/>
    <col min="40" max="40" width="10.85546875" customWidth="1"/>
    <col min="41" max="41" width="10.140625" customWidth="1"/>
    <col min="42" max="43" width="9" bestFit="1" customWidth="1"/>
    <col min="45" max="45" width="10.7109375" customWidth="1"/>
  </cols>
  <sheetData>
    <row r="4" spans="2:41">
      <c r="B4" s="3"/>
      <c r="C4" s="4"/>
      <c r="D4" s="4"/>
      <c r="E4" s="4"/>
      <c r="F4" s="4"/>
      <c r="G4" s="4"/>
      <c r="H4" s="4"/>
      <c r="I4" s="4"/>
      <c r="J4" s="4"/>
      <c r="K4" s="4"/>
      <c r="L4" s="25"/>
      <c r="M4" s="4"/>
      <c r="N4" s="4"/>
      <c r="O4" s="4"/>
      <c r="P4" s="4"/>
      <c r="Q4" s="26"/>
      <c r="R4" s="4"/>
      <c r="S4" s="4"/>
      <c r="T4" s="4"/>
      <c r="U4" s="4"/>
      <c r="V4" s="4" t="s">
        <v>0</v>
      </c>
      <c r="W4" s="4">
        <v>15.999000000000001</v>
      </c>
      <c r="X4" s="4" t="s">
        <v>1</v>
      </c>
      <c r="Y4" s="4">
        <v>12.010999999999999</v>
      </c>
      <c r="Z4" s="4"/>
      <c r="AA4" s="4"/>
      <c r="AB4" s="4"/>
      <c r="AC4" s="4"/>
      <c r="AD4" s="5"/>
    </row>
    <row r="5" spans="2:41">
      <c r="B5" s="3"/>
      <c r="C5" s="4" t="s">
        <v>2</v>
      </c>
      <c r="D5" s="4"/>
      <c r="E5" s="4"/>
      <c r="F5" s="5"/>
      <c r="H5" s="90" t="s">
        <v>3</v>
      </c>
      <c r="I5" s="97"/>
      <c r="J5" s="4"/>
      <c r="K5" s="4" t="s">
        <v>4</v>
      </c>
      <c r="L5" s="47"/>
      <c r="M5" s="5"/>
      <c r="P5" s="3" t="s">
        <v>5</v>
      </c>
      <c r="Q5" s="4"/>
      <c r="R5" s="26"/>
      <c r="S5" s="4"/>
      <c r="T5" s="5"/>
      <c r="AD5" s="7"/>
    </row>
    <row r="6" spans="2:41">
      <c r="B6" s="6" t="s">
        <v>6</v>
      </c>
      <c r="C6" s="36">
        <v>0.16152539754240466</v>
      </c>
      <c r="D6" t="s">
        <v>7</v>
      </c>
      <c r="E6" t="s">
        <v>8</v>
      </c>
      <c r="F6" s="7" t="s">
        <v>9</v>
      </c>
      <c r="H6" s="6"/>
      <c r="J6" t="s">
        <v>9</v>
      </c>
      <c r="L6" s="27"/>
      <c r="M6" s="7" t="s">
        <v>9</v>
      </c>
      <c r="P6" s="6"/>
      <c r="Q6"/>
      <c r="R6" s="2"/>
      <c r="T6" s="7"/>
      <c r="V6" s="3" t="s">
        <v>10</v>
      </c>
      <c r="W6" s="4"/>
      <c r="X6" s="4"/>
      <c r="Y6" s="5"/>
      <c r="AA6" s="3" t="s">
        <v>11</v>
      </c>
      <c r="AB6" s="4"/>
      <c r="AC6" s="4"/>
      <c r="AD6" s="5"/>
    </row>
    <row r="7" spans="2:41">
      <c r="B7" s="6" t="s">
        <v>12</v>
      </c>
      <c r="D7" s="2">
        <f>SUM(D8:D13)</f>
        <v>0.99999999999999978</v>
      </c>
      <c r="E7">
        <f>E18/(C6+1)</f>
        <v>1100.792982318605</v>
      </c>
      <c r="F7" s="7">
        <f>SUM(F8:F13)</f>
        <v>1100.7929823473314</v>
      </c>
      <c r="H7" s="6" t="s">
        <v>13</v>
      </c>
      <c r="I7" t="s">
        <v>7</v>
      </c>
      <c r="J7" s="2">
        <f>D8</f>
        <v>0.66499160882655639</v>
      </c>
      <c r="K7" t="s">
        <v>14</v>
      </c>
      <c r="L7" s="27" t="s">
        <v>7</v>
      </c>
      <c r="M7" s="48">
        <f>D10</f>
        <v>0.164249730305117</v>
      </c>
      <c r="P7" s="6" t="s">
        <v>15</v>
      </c>
      <c r="Q7">
        <f>J27</f>
        <v>814.34860220770815</v>
      </c>
      <c r="R7" s="2"/>
      <c r="T7" s="7"/>
      <c r="V7" s="6" t="s">
        <v>16</v>
      </c>
      <c r="W7" t="s">
        <v>9</v>
      </c>
      <c r="X7" t="s">
        <v>17</v>
      </c>
      <c r="Y7" s="7" t="s">
        <v>18</v>
      </c>
      <c r="AA7" s="6" t="s">
        <v>16</v>
      </c>
      <c r="AB7" t="s">
        <v>17</v>
      </c>
      <c r="AC7" t="s">
        <v>18</v>
      </c>
      <c r="AD7" s="7" t="s">
        <v>19</v>
      </c>
    </row>
    <row r="8" spans="2:41">
      <c r="B8" s="6"/>
      <c r="C8" t="s">
        <v>20</v>
      </c>
      <c r="D8" s="2">
        <f t="shared" ref="D8:D13" si="0">F8/$F$7</f>
        <v>0.66499160882655639</v>
      </c>
      <c r="E8" s="62">
        <f>D8*$E$7</f>
        <v>732.01809629703223</v>
      </c>
      <c r="F8" s="63">
        <v>732.01809631613503</v>
      </c>
      <c r="H8" s="6" t="s">
        <v>21</v>
      </c>
      <c r="I8" s="27">
        <v>4.0500000000000001E-2</v>
      </c>
      <c r="J8">
        <f>I8*$J$16</f>
        <v>29.646732900803471</v>
      </c>
      <c r="K8" t="s">
        <v>22</v>
      </c>
      <c r="L8" s="27">
        <v>0.99170000000000003</v>
      </c>
      <c r="M8" s="7">
        <f>L8*M10</f>
        <v>179.3042693833944</v>
      </c>
      <c r="P8" s="6"/>
      <c r="Q8"/>
      <c r="R8" s="2"/>
      <c r="U8" s="4"/>
      <c r="V8" t="s">
        <v>21</v>
      </c>
      <c r="W8">
        <f>J24-T11</f>
        <v>29.050979663854438</v>
      </c>
      <c r="X8">
        <f>Y4</f>
        <v>12.010999999999999</v>
      </c>
      <c r="Y8">
        <f t="shared" ref="Y8:Y13" si="1">W8/X8</f>
        <v>2.4186978323082542</v>
      </c>
      <c r="Z8" s="4"/>
      <c r="AA8" t="s">
        <v>23</v>
      </c>
      <c r="AB8">
        <f>W4+Y4</f>
        <v>28.009999999999998</v>
      </c>
      <c r="AC8">
        <f>Y8</f>
        <v>2.4186978323082542</v>
      </c>
      <c r="AD8" s="7">
        <f>AB8*AC8</f>
        <v>67.74772628295419</v>
      </c>
    </row>
    <row r="9" spans="2:41">
      <c r="B9" s="6"/>
      <c r="C9" t="s">
        <v>24</v>
      </c>
      <c r="D9" s="2">
        <f t="shared" si="0"/>
        <v>8.8973393414227653E-4</v>
      </c>
      <c r="E9" s="62">
        <f t="shared" ref="E9:E12" si="2">D9*$E$7</f>
        <v>0.97941287083454187</v>
      </c>
      <c r="F9" s="63">
        <v>0.97941287086010076</v>
      </c>
      <c r="H9" s="6" t="s">
        <v>25</v>
      </c>
      <c r="I9" s="27">
        <v>5.0000000000000001E-3</v>
      </c>
      <c r="J9">
        <f t="shared" ref="J9:J15" si="3">I9*$J$16</f>
        <v>3.6600904815806752</v>
      </c>
      <c r="K9" t="s">
        <v>26</v>
      </c>
      <c r="L9" s="27">
        <f>1-L8</f>
        <v>8.2999999999999741E-3</v>
      </c>
      <c r="M9" s="7">
        <f>M10*L9</f>
        <v>1.5006810889202065</v>
      </c>
      <c r="P9" s="6" t="s">
        <v>27</v>
      </c>
      <c r="Q9"/>
      <c r="R9" s="2"/>
      <c r="U9" s="10"/>
      <c r="V9" t="s">
        <v>25</v>
      </c>
      <c r="W9">
        <f>J25-T12</f>
        <v>3.6600904815806752</v>
      </c>
      <c r="X9">
        <v>28.085999999999999</v>
      </c>
      <c r="Y9">
        <f t="shared" si="1"/>
        <v>0.13031725705264813</v>
      </c>
      <c r="Z9" s="10"/>
      <c r="AA9" t="s">
        <v>28</v>
      </c>
      <c r="AB9">
        <f>X9+X13</f>
        <v>60.084000000000003</v>
      </c>
      <c r="AC9">
        <f>Y9</f>
        <v>0.13031725705264813</v>
      </c>
      <c r="AD9" s="7">
        <f t="shared" ref="AD9:AD12" si="4">AB9*AC9</f>
        <v>7.8299820727513101</v>
      </c>
    </row>
    <row r="10" spans="2:41">
      <c r="B10" s="6"/>
      <c r="C10" t="s">
        <v>29</v>
      </c>
      <c r="D10" s="2">
        <f t="shared" si="0"/>
        <v>0.164249730305117</v>
      </c>
      <c r="E10" s="62">
        <f t="shared" si="2"/>
        <v>180.80495046759631</v>
      </c>
      <c r="F10" s="63">
        <v>180.8049504723146</v>
      </c>
      <c r="H10" s="6" t="s">
        <v>30</v>
      </c>
      <c r="I10" s="27">
        <v>5.0000000000000001E-4</v>
      </c>
      <c r="J10">
        <f t="shared" si="3"/>
        <v>0.36600904815806751</v>
      </c>
      <c r="K10" t="s">
        <v>31</v>
      </c>
      <c r="L10" s="27">
        <f>SUM(L8:L9)</f>
        <v>1</v>
      </c>
      <c r="M10" s="7">
        <f>F7*M7</f>
        <v>180.8049504723146</v>
      </c>
      <c r="P10" s="6" t="s">
        <v>32</v>
      </c>
      <c r="Q10"/>
      <c r="R10" s="2" t="s">
        <v>7</v>
      </c>
      <c r="S10" t="s">
        <v>33</v>
      </c>
      <c r="T10" s="7" t="s">
        <v>9</v>
      </c>
      <c r="V10" s="6" t="s">
        <v>30</v>
      </c>
      <c r="W10">
        <f>J26-T13</f>
        <v>0.36600904815808072</v>
      </c>
      <c r="X10">
        <v>30.974</v>
      </c>
      <c r="Y10" s="7">
        <f t="shared" si="1"/>
        <v>1.1816654231228796E-2</v>
      </c>
      <c r="AA10" s="6" t="s">
        <v>34</v>
      </c>
      <c r="AB10">
        <f>3*(X14-W4)+2*(X10+2*X13)</f>
        <v>310.17399999999998</v>
      </c>
      <c r="AC10">
        <f>0.5*Y10</f>
        <v>5.9083271156143979E-3</v>
      </c>
      <c r="AD10" s="7">
        <f t="shared" si="4"/>
        <v>1.8326094547585801</v>
      </c>
    </row>
    <row r="11" spans="2:41">
      <c r="B11" s="6"/>
      <c r="C11" t="s">
        <v>35</v>
      </c>
      <c r="D11" s="2">
        <f t="shared" si="0"/>
        <v>0.10254618198611441</v>
      </c>
      <c r="E11" s="62">
        <f>D11*$E$7</f>
        <v>112.8821174938813</v>
      </c>
      <c r="F11" s="63">
        <v>112.88211749682708</v>
      </c>
      <c r="H11" s="6" t="s">
        <v>36</v>
      </c>
      <c r="I11" s="27">
        <v>0.9456</v>
      </c>
      <c r="J11">
        <f>I11*$J$16</f>
        <v>692.19631187653727</v>
      </c>
      <c r="K11" t="s">
        <v>37</v>
      </c>
      <c r="L11" s="27" t="s">
        <v>7</v>
      </c>
      <c r="M11" s="48">
        <f>D11</f>
        <v>0.10254618198611441</v>
      </c>
      <c r="O11" s="53" t="s">
        <v>38</v>
      </c>
      <c r="P11" t="s">
        <v>21</v>
      </c>
      <c r="Q11" s="28">
        <v>2.5000000000000001E-2</v>
      </c>
      <c r="R11" s="89">
        <f>M24*Q11</f>
        <v>8.6949205337289435E-4</v>
      </c>
      <c r="S11" s="29">
        <f>R11/$R$17</f>
        <v>8.5870593266273337E-4</v>
      </c>
      <c r="T11" s="7">
        <f>S11*$T$17</f>
        <v>0.70088616111652491</v>
      </c>
      <c r="V11" s="6" t="s">
        <v>39</v>
      </c>
      <c r="W11">
        <f>J28-T14</f>
        <v>0.29280723852700263</v>
      </c>
      <c r="X11">
        <v>32.064999999999998</v>
      </c>
      <c r="Y11" s="7">
        <f t="shared" si="1"/>
        <v>9.131677484079297E-3</v>
      </c>
      <c r="AA11" s="6" t="s">
        <v>40</v>
      </c>
      <c r="AB11">
        <f>X11+X13</f>
        <v>64.063000000000002</v>
      </c>
      <c r="AC11">
        <f>Y11</f>
        <v>9.131677484079297E-3</v>
      </c>
      <c r="AD11" s="7">
        <f t="shared" si="4"/>
        <v>0.58500265466257206</v>
      </c>
      <c r="AF11">
        <f>SUMPRODUCT(AH20:AH23,AK20:AK23)/Q16+SUM(T22:T27)</f>
        <v>177.80602408552011</v>
      </c>
      <c r="AG11">
        <f>AF11/F7</f>
        <v>0.16152539754238482</v>
      </c>
      <c r="AI11" t="s">
        <v>41</v>
      </c>
      <c r="AJ11" t="s">
        <v>42</v>
      </c>
      <c r="AK11" t="s">
        <v>43</v>
      </c>
      <c r="AL11" t="s">
        <v>44</v>
      </c>
    </row>
    <row r="12" spans="2:41">
      <c r="B12" s="6"/>
      <c r="C12" t="s">
        <v>45</v>
      </c>
      <c r="D12" s="2">
        <f t="shared" si="0"/>
        <v>1.878281587430778E-2</v>
      </c>
      <c r="E12" s="62">
        <f t="shared" si="2"/>
        <v>20.675991902620499</v>
      </c>
      <c r="F12" s="63">
        <v>20.67599190316006</v>
      </c>
      <c r="H12" s="6" t="s">
        <v>39</v>
      </c>
      <c r="I12" s="27">
        <v>4.0000000000000002E-4</v>
      </c>
      <c r="J12">
        <f t="shared" si="3"/>
        <v>0.29280723852645402</v>
      </c>
      <c r="K12" t="s">
        <v>46</v>
      </c>
      <c r="L12" s="27">
        <v>0.95</v>
      </c>
      <c r="M12" s="7">
        <f>L12*M14</f>
        <v>107.23801162198572</v>
      </c>
      <c r="P12" s="6" t="s">
        <v>25</v>
      </c>
      <c r="Q12" s="28">
        <v>0</v>
      </c>
      <c r="R12" s="89">
        <f>M25*Q12</f>
        <v>0</v>
      </c>
      <c r="S12" s="29">
        <f t="shared" ref="S12:S16" si="5">R12/$R$17</f>
        <v>0</v>
      </c>
      <c r="T12" s="7">
        <f>S12*$T$17</f>
        <v>0</v>
      </c>
      <c r="V12" s="6" t="s">
        <v>47</v>
      </c>
      <c r="W12">
        <f>J29-T15</f>
        <v>5.8561447705291698</v>
      </c>
      <c r="X12">
        <v>54.938000000000002</v>
      </c>
      <c r="Y12" s="7">
        <f t="shared" si="1"/>
        <v>0.1065955216886157</v>
      </c>
      <c r="AA12" s="6" t="s">
        <v>48</v>
      </c>
      <c r="AB12">
        <f>X12+W4</f>
        <v>70.936999999999998</v>
      </c>
      <c r="AC12">
        <f>Y12</f>
        <v>0.1065955216886157</v>
      </c>
      <c r="AD12" s="7">
        <f t="shared" si="4"/>
        <v>7.5615665220253323</v>
      </c>
      <c r="AF12">
        <f>Y37</f>
        <v>177.80602408552014</v>
      </c>
      <c r="AG12">
        <f>C6</f>
        <v>0.16152539754240466</v>
      </c>
      <c r="AJ12">
        <f>AJ14/AH14</f>
        <v>177.80602408552014</v>
      </c>
      <c r="AK12">
        <f>SUM(AJ20:AJ31)</f>
        <v>177.80602408554191</v>
      </c>
      <c r="AL12">
        <f>SUMPRODUCT(AM20:AM31,AH20:AH31)</f>
        <v>188.69187554783443</v>
      </c>
    </row>
    <row r="13" spans="2:41">
      <c r="B13" s="6"/>
      <c r="C13" t="s">
        <v>49</v>
      </c>
      <c r="D13" s="2">
        <f t="shared" si="0"/>
        <v>4.8539929073761964E-2</v>
      </c>
      <c r="E13" s="62">
        <f>D13*$E$7</f>
        <v>53.432413286639999</v>
      </c>
      <c r="F13" s="63">
        <v>53.432413288034375</v>
      </c>
      <c r="H13" s="6" t="s">
        <v>47</v>
      </c>
      <c r="I13" s="27">
        <v>8.0000000000000002E-3</v>
      </c>
      <c r="J13">
        <f t="shared" si="3"/>
        <v>5.8561447705290801</v>
      </c>
      <c r="K13" t="s">
        <v>26</v>
      </c>
      <c r="L13" s="27">
        <f>1-L12</f>
        <v>5.0000000000000044E-2</v>
      </c>
      <c r="M13" s="7">
        <f>M14*L13</f>
        <v>5.6441058748413591</v>
      </c>
      <c r="P13" s="6" t="s">
        <v>30</v>
      </c>
      <c r="Q13" s="28">
        <v>0.242857143</v>
      </c>
      <c r="R13" s="89">
        <f>M26*Q13</f>
        <v>1.3474517861626858E-4</v>
      </c>
      <c r="S13" s="29">
        <f t="shared" si="5"/>
        <v>1.3307365355053692E-4</v>
      </c>
      <c r="T13" s="7">
        <f>S13*$T$17</f>
        <v>0.1086163244424898</v>
      </c>
      <c r="V13" s="6" t="s">
        <v>50</v>
      </c>
      <c r="W13">
        <f>S21</f>
        <v>45.417551294829217</v>
      </c>
      <c r="X13">
        <f>2*W4</f>
        <v>31.998000000000001</v>
      </c>
      <c r="Y13" s="7">
        <f t="shared" si="1"/>
        <v>1.419387189662767</v>
      </c>
      <c r="AA13" s="6" t="s">
        <v>31</v>
      </c>
      <c r="AC13">
        <f>SUM(AC8:AC12)</f>
        <v>2.6706506156492122</v>
      </c>
      <c r="AD13" s="7">
        <f>SUM(AD8:AD12)</f>
        <v>85.556886987151984</v>
      </c>
      <c r="AH13" t="s">
        <v>51</v>
      </c>
      <c r="AI13" t="s">
        <v>52</v>
      </c>
      <c r="AJ13" t="s">
        <v>53</v>
      </c>
      <c r="AK13" t="s">
        <v>54</v>
      </c>
      <c r="AL13" t="s">
        <v>55</v>
      </c>
      <c r="AM13" t="s">
        <v>56</v>
      </c>
    </row>
    <row r="14" spans="2:41">
      <c r="B14" s="6" t="s">
        <v>57</v>
      </c>
      <c r="F14" s="7"/>
      <c r="H14" s="6" t="s">
        <v>58</v>
      </c>
      <c r="I14" s="27">
        <v>0</v>
      </c>
      <c r="J14">
        <f t="shared" si="3"/>
        <v>0</v>
      </c>
      <c r="K14" t="s">
        <v>31</v>
      </c>
      <c r="L14" s="2">
        <f>SUM(L12:L13)</f>
        <v>1</v>
      </c>
      <c r="M14" s="7">
        <f>M11*F7</f>
        <v>112.88211749682708</v>
      </c>
      <c r="P14" s="6" t="s">
        <v>39</v>
      </c>
      <c r="Q14" s="28">
        <v>0.54347826099999996</v>
      </c>
      <c r="R14" s="89">
        <f>M28*Q14</f>
        <v>3.8129952707994591E-4</v>
      </c>
      <c r="S14" s="29">
        <f t="shared" si="5"/>
        <v>3.765694749651996E-4</v>
      </c>
      <c r="T14" s="7">
        <f>S14*$T$17</f>
        <v>0.3073605569296638</v>
      </c>
      <c r="V14" s="6" t="s">
        <v>59</v>
      </c>
      <c r="W14">
        <f>J33-T27</f>
        <v>0.97941287086012152</v>
      </c>
      <c r="X14" s="10">
        <v>56.076999999999998</v>
      </c>
      <c r="Y14" s="11">
        <f t="shared" ref="Y14" si="6">W14/X14</f>
        <v>1.7465500487902734E-2</v>
      </c>
      <c r="AA14" s="9" t="s">
        <v>60</v>
      </c>
      <c r="AB14" s="10"/>
      <c r="AC14">
        <f>SUM(AC9:AC12)</f>
        <v>0.25195278334095755</v>
      </c>
      <c r="AD14" s="46">
        <f>SUM(AD9:AD12)</f>
        <v>17.809160704197794</v>
      </c>
      <c r="AH14">
        <f>Q16</f>
        <v>1.061223187</v>
      </c>
      <c r="AI14">
        <f>J19</f>
        <v>53.432413288034375</v>
      </c>
      <c r="AJ14">
        <f>SUMPRODUCT(AK20:AK29,AH20:AH29)</f>
        <v>188.69187554783443</v>
      </c>
      <c r="AK14">
        <f>SUM(AK20:AK29)</f>
        <v>1218.0114681851258</v>
      </c>
      <c r="AL14">
        <f>SUM(AG20:AG31)</f>
        <v>1100.7929823473314</v>
      </c>
      <c r="AM14">
        <f>SUMPRODUCT(AG20:AG31,AH20:AH31)</f>
        <v>160.30648523045596</v>
      </c>
      <c r="AN14">
        <f>SUMPRODUCT(AH20:AH31,AP20:AP31,AG20:AG31)</f>
        <v>188.69187554782982</v>
      </c>
      <c r="AO14" s="4">
        <f>SUMPRODUCT(AG20:AG29,AI20:AI29,AP20:AP29)/AH14+AG31+AG30</f>
        <v>1030.5244989610549</v>
      </c>
    </row>
    <row r="15" spans="2:41">
      <c r="B15" s="6" t="s">
        <v>61</v>
      </c>
      <c r="E15" s="84">
        <v>1000</v>
      </c>
      <c r="F15" s="7">
        <f>W23</f>
        <v>1000.0000000260961</v>
      </c>
      <c r="H15" s="6" t="s">
        <v>26</v>
      </c>
      <c r="I15" s="2">
        <f>1-SUM(I8:I14)</f>
        <v>0</v>
      </c>
      <c r="J15">
        <f t="shared" si="3"/>
        <v>0</v>
      </c>
      <c r="K15" t="s">
        <v>62</v>
      </c>
      <c r="L15" s="27" t="s">
        <v>7</v>
      </c>
      <c r="M15" s="48">
        <f>D12</f>
        <v>1.878281587430778E-2</v>
      </c>
      <c r="P15" s="6" t="s">
        <v>47</v>
      </c>
      <c r="Q15" s="28">
        <v>0.12</v>
      </c>
      <c r="R15" s="89">
        <f>M29*Q15</f>
        <v>9.2622940664567708E-4</v>
      </c>
      <c r="S15" s="29">
        <f>R15/$R$17</f>
        <v>9.1473945438374821E-4</v>
      </c>
      <c r="T15" s="7">
        <f>S15*$T$17</f>
        <v>0.74662139880272649</v>
      </c>
      <c r="V15" s="9" t="s">
        <v>31</v>
      </c>
      <c r="W15" s="11">
        <f>SUM(W8:W14)</f>
        <v>85.622995368338707</v>
      </c>
      <c r="AC15" s="56"/>
      <c r="AD15" s="7"/>
      <c r="AF15" s="4" t="s">
        <v>63</v>
      </c>
      <c r="AG15" s="4">
        <f>SUM(AG20:AG31)</f>
        <v>1100.7929823473314</v>
      </c>
      <c r="AH15" s="4">
        <f>AK14-AJ15+AK30+AK31</f>
        <v>1100.7929823473532</v>
      </c>
      <c r="AI15" s="4"/>
      <c r="AJ15" s="4">
        <f>AJ14/AH14</f>
        <v>177.80602408552014</v>
      </c>
      <c r="AK15">
        <f>AN14/AG15/AH14</f>
        <v>0.16152539754238091</v>
      </c>
      <c r="AL15" s="4"/>
      <c r="AM15">
        <f>(1+AG11)*AM14</f>
        <v>186.20005398592781</v>
      </c>
      <c r="AN15">
        <f>AN14/AH14</f>
        <v>177.80602408551579</v>
      </c>
    </row>
    <row r="16" spans="2:41">
      <c r="B16" s="6" t="s">
        <v>64</v>
      </c>
      <c r="F16" s="7">
        <f>AD14</f>
        <v>17.809160704197794</v>
      </c>
      <c r="H16" s="6" t="s">
        <v>31</v>
      </c>
      <c r="I16" s="2">
        <f>SUM(I8:I15)</f>
        <v>1</v>
      </c>
      <c r="J16">
        <f>J7*F7</f>
        <v>732.01809631613503</v>
      </c>
      <c r="K16" t="s">
        <v>65</v>
      </c>
      <c r="L16" s="27">
        <v>0.99950000000000006</v>
      </c>
      <c r="M16" s="7">
        <f>M18*L16</f>
        <v>20.66565390720848</v>
      </c>
      <c r="O16" s="53" t="s">
        <v>38</v>
      </c>
      <c r="P16" t="s">
        <v>15</v>
      </c>
      <c r="Q16" s="88">
        <v>1.061223187</v>
      </c>
      <c r="R16" s="89">
        <f>M27*Q16</f>
        <v>1.0102491354187364</v>
      </c>
      <c r="S16" s="29">
        <f t="shared" si="5"/>
        <v>0.99771691148443775</v>
      </c>
      <c r="T16" s="7">
        <f>Q7</f>
        <v>814.34860220770815</v>
      </c>
      <c r="V16" s="3" t="s">
        <v>66</v>
      </c>
      <c r="W16" s="4"/>
      <c r="X16" s="5"/>
      <c r="Z16" s="3" t="s">
        <v>67</v>
      </c>
      <c r="AA16" s="4"/>
      <c r="AB16" s="4"/>
      <c r="AC16" t="s">
        <v>68</v>
      </c>
      <c r="AD16" s="5"/>
      <c r="AK16">
        <f>SUMPRODUCT(AG20:AG31,AL20:AL31,AH20:AH31)/AG15</f>
        <v>0.16152539754238088</v>
      </c>
    </row>
    <row r="17" spans="2:45">
      <c r="B17" s="6" t="s">
        <v>69</v>
      </c>
      <c r="E17">
        <f>C6*E18/(1+C6)</f>
        <v>177.80602408090192</v>
      </c>
      <c r="F17" s="7">
        <f>C6*F7</f>
        <v>177.80602408554194</v>
      </c>
      <c r="H17" s="6" t="s">
        <v>70</v>
      </c>
      <c r="I17" t="s">
        <v>7</v>
      </c>
      <c r="J17" s="2">
        <f>D9</f>
        <v>8.8973393414227653E-4</v>
      </c>
      <c r="K17" t="s">
        <v>26</v>
      </c>
      <c r="L17" s="27">
        <f>1-L16</f>
        <v>4.9999999999994493E-4</v>
      </c>
      <c r="M17" s="7">
        <f>L17*M18</f>
        <v>1.0337995951578891E-2</v>
      </c>
      <c r="P17" s="6" t="s">
        <v>31</v>
      </c>
      <c r="Q17" t="s">
        <v>71</v>
      </c>
      <c r="R17" s="89">
        <f>SUM(R11:R16)</f>
        <v>1.0125609015844512</v>
      </c>
      <c r="S17" s="29">
        <f>SUM(S11:S16)</f>
        <v>1</v>
      </c>
      <c r="T17" s="7">
        <f>T16/S16</f>
        <v>816.21208664899962</v>
      </c>
      <c r="V17" s="6" t="s">
        <v>16</v>
      </c>
      <c r="W17" t="s">
        <v>9</v>
      </c>
      <c r="X17" s="7" t="s">
        <v>7</v>
      </c>
      <c r="Z17" s="6" t="s">
        <v>16</v>
      </c>
      <c r="AA17" t="s">
        <v>18</v>
      </c>
      <c r="AB17" t="s">
        <v>19</v>
      </c>
      <c r="AC17" t="s">
        <v>18</v>
      </c>
      <c r="AD17" s="7" t="s">
        <v>19</v>
      </c>
      <c r="AF17">
        <f>SUMPRODUCT(AH20:AH23,AK20:AK23)/Q16+SUM(T22:T27)</f>
        <v>177.80602408552011</v>
      </c>
    </row>
    <row r="18" spans="2:45">
      <c r="B18" s="6" t="s">
        <v>72</v>
      </c>
      <c r="E18">
        <f>E15/W23*F18</f>
        <v>1278.5990063995071</v>
      </c>
      <c r="F18" s="7">
        <f>F7+F17</f>
        <v>1278.5990064328735</v>
      </c>
      <c r="H18" s="6" t="s">
        <v>59</v>
      </c>
      <c r="I18" s="30">
        <v>1</v>
      </c>
      <c r="J18">
        <f>J17*F7</f>
        <v>0.97941287086010076</v>
      </c>
      <c r="K18" t="s">
        <v>31</v>
      </c>
      <c r="L18" s="27">
        <f>SUM(L17+L16)</f>
        <v>1</v>
      </c>
      <c r="M18" s="7">
        <f>M15*F7</f>
        <v>20.67599190316006</v>
      </c>
      <c r="P18" s="6"/>
      <c r="U18" s="4"/>
      <c r="V18" t="s">
        <v>21</v>
      </c>
      <c r="W18">
        <f>T11-T22</f>
        <v>0.59575323694904614</v>
      </c>
      <c r="X18" s="16">
        <f>W18/$W$23</f>
        <v>5.9575323693349927E-4</v>
      </c>
      <c r="Z18" s="6" t="s">
        <v>21</v>
      </c>
      <c r="AA18">
        <f>AC8</f>
        <v>2.4186978323082542</v>
      </c>
      <c r="AB18">
        <f t="shared" ref="AB18:AB24" si="7">X8*AA18</f>
        <v>29.050979663854438</v>
      </c>
      <c r="AC18">
        <f>AA18-Y8</f>
        <v>0</v>
      </c>
      <c r="AD18" s="7">
        <f>AB18-W8</f>
        <v>0</v>
      </c>
    </row>
    <row r="19" spans="2:45">
      <c r="B19" s="9" t="s">
        <v>73</v>
      </c>
      <c r="C19" s="10"/>
      <c r="D19" s="10"/>
      <c r="E19" s="10"/>
      <c r="F19" s="11">
        <f>U37</f>
        <v>1278.5990064328735</v>
      </c>
      <c r="H19" s="9" t="s">
        <v>50</v>
      </c>
      <c r="I19" s="30">
        <v>1</v>
      </c>
      <c r="J19" s="10">
        <f>F13</f>
        <v>53.432413288034375</v>
      </c>
      <c r="K19" s="10"/>
      <c r="L19" s="49"/>
      <c r="M19" s="11"/>
      <c r="P19" s="6"/>
      <c r="S19" s="98" t="s">
        <v>74</v>
      </c>
      <c r="T19" s="98"/>
      <c r="U19" s="10"/>
      <c r="V19" t="s">
        <v>22</v>
      </c>
      <c r="W19">
        <f>J30-T23</f>
        <v>179.30426938339818</v>
      </c>
      <c r="X19" s="16">
        <f t="shared" ref="X19:X21" si="8">W19/$W$23</f>
        <v>0.17930426937871904</v>
      </c>
      <c r="Z19" s="6" t="s">
        <v>25</v>
      </c>
      <c r="AA19">
        <f>AC9</f>
        <v>0.13031725705264813</v>
      </c>
      <c r="AB19">
        <f t="shared" si="7"/>
        <v>3.6600904815806752</v>
      </c>
      <c r="AC19">
        <f>AA19-Y9</f>
        <v>0</v>
      </c>
      <c r="AD19" s="7">
        <f>AB19-W9</f>
        <v>0</v>
      </c>
      <c r="AF19" t="s">
        <v>75</v>
      </c>
      <c r="AG19" t="s">
        <v>76</v>
      </c>
      <c r="AH19" t="s">
        <v>77</v>
      </c>
      <c r="AI19" t="s">
        <v>78</v>
      </c>
      <c r="AJ19" t="s">
        <v>42</v>
      </c>
      <c r="AK19" t="s">
        <v>79</v>
      </c>
      <c r="AL19" t="s">
        <v>80</v>
      </c>
      <c r="AM19" t="s">
        <v>81</v>
      </c>
      <c r="AN19" t="s">
        <v>82</v>
      </c>
      <c r="AO19" t="s">
        <v>83</v>
      </c>
      <c r="AP19" t="s">
        <v>84</v>
      </c>
      <c r="AR19" t="s">
        <v>85</v>
      </c>
      <c r="AS19" t="s">
        <v>86</v>
      </c>
    </row>
    <row r="20" spans="2:45">
      <c r="B20" s="6"/>
      <c r="I20" s="56"/>
      <c r="L20" s="27"/>
      <c r="P20" s="6" t="s">
        <v>16</v>
      </c>
      <c r="Q20" s="2" t="s">
        <v>87</v>
      </c>
      <c r="R20" t="s">
        <v>88</v>
      </c>
      <c r="S20" t="s">
        <v>89</v>
      </c>
      <c r="T20" s="7" t="s">
        <v>90</v>
      </c>
      <c r="V20" s="6" t="s">
        <v>46</v>
      </c>
      <c r="W20">
        <f>J31-T24</f>
        <v>107.23801162198799</v>
      </c>
      <c r="X20" s="16">
        <f t="shared" si="8"/>
        <v>0.1072380116191895</v>
      </c>
      <c r="Z20" s="6" t="s">
        <v>30</v>
      </c>
      <c r="AA20">
        <f>2*AC10</f>
        <v>1.1816654231228796E-2</v>
      </c>
      <c r="AB20">
        <f t="shared" si="7"/>
        <v>0.36600904815808072</v>
      </c>
      <c r="AC20">
        <f>AA20-Y10</f>
        <v>0</v>
      </c>
      <c r="AD20" s="7">
        <f>AB20-W10</f>
        <v>0</v>
      </c>
      <c r="AF20" s="6" t="s">
        <v>25</v>
      </c>
      <c r="AG20">
        <f>AK20</f>
        <v>3.6600904815806752</v>
      </c>
      <c r="AH20">
        <f>Q12</f>
        <v>0</v>
      </c>
      <c r="AI20">
        <f>1-AH20</f>
        <v>1</v>
      </c>
      <c r="AJ20">
        <v>0</v>
      </c>
      <c r="AK20">
        <f>N25</f>
        <v>3.6600904815806752</v>
      </c>
      <c r="AL20">
        <f>1/($AH$14-AH20)</f>
        <v>0.94230884911865387</v>
      </c>
      <c r="AM20" s="6">
        <f>AJ20+AG20</f>
        <v>3.6600904815806752</v>
      </c>
      <c r="AN20">
        <f>AH20*AJ20</f>
        <v>0</v>
      </c>
      <c r="AO20">
        <f>AH20*AK20/$AH$14</f>
        <v>0</v>
      </c>
      <c r="AP20">
        <f>$AH$14/($AH$14-AH20)</f>
        <v>1</v>
      </c>
      <c r="AQ20">
        <f>AK20*AP20*AH20</f>
        <v>0</v>
      </c>
      <c r="AR20">
        <f>AH20/$AH$14</f>
        <v>0</v>
      </c>
    </row>
    <row r="21" spans="2:45">
      <c r="B21" s="6"/>
      <c r="C21" s="3" t="s">
        <v>91</v>
      </c>
      <c r="D21" s="4"/>
      <c r="E21" s="5"/>
      <c r="H21" s="3" t="s">
        <v>92</v>
      </c>
      <c r="J21" s="5"/>
      <c r="L21" s="27"/>
      <c r="P21" s="6" t="s">
        <v>50</v>
      </c>
      <c r="Q21" s="2">
        <v>0.85</v>
      </c>
      <c r="R21" s="2">
        <f>1-Q21</f>
        <v>0.15000000000000002</v>
      </c>
      <c r="S21">
        <f>Q21*J23</f>
        <v>45.417551294829217</v>
      </c>
      <c r="T21" s="7">
        <f>R21*J23</f>
        <v>8.014861993205157</v>
      </c>
      <c r="V21" s="6" t="s">
        <v>65</v>
      </c>
      <c r="W21">
        <f>J32-T25</f>
        <v>20.665653907208917</v>
      </c>
      <c r="X21" s="16">
        <f t="shared" si="8"/>
        <v>2.0665653906669624E-2</v>
      </c>
      <c r="Z21" s="6" t="s">
        <v>39</v>
      </c>
      <c r="AA21">
        <f>AC11</f>
        <v>9.131677484079297E-3</v>
      </c>
      <c r="AB21">
        <f t="shared" si="7"/>
        <v>0.29280723852700263</v>
      </c>
      <c r="AC21">
        <f>AA21-Y11</f>
        <v>0</v>
      </c>
      <c r="AD21" s="7">
        <f>AB21-W11</f>
        <v>0</v>
      </c>
      <c r="AF21" s="6" t="s">
        <v>30</v>
      </c>
      <c r="AG21">
        <f>J10</f>
        <v>0.36600904815806751</v>
      </c>
      <c r="AH21">
        <f>Q13</f>
        <v>0.242857143</v>
      </c>
      <c r="AI21">
        <f t="shared" ref="AI21:AI31" si="9">1-AH21</f>
        <v>0.75714285700000006</v>
      </c>
      <c r="AJ21">
        <f>E26</f>
        <v>0.10861632444250302</v>
      </c>
      <c r="AK21">
        <f>N26</f>
        <v>0.47462537260057053</v>
      </c>
      <c r="AL21">
        <f t="shared" ref="AL21:AL31" si="10">1/($AH$14-AH21)</f>
        <v>1.2219470826431307</v>
      </c>
      <c r="AM21" s="6">
        <f t="shared" ref="AM21:AM31" si="11">AJ21+AG21</f>
        <v>0.47462537260057053</v>
      </c>
      <c r="AN21">
        <f t="shared" ref="AN21:AN31" si="12">AH21*AJ21</f>
        <v>2.6378250237267351E-2</v>
      </c>
      <c r="AO21">
        <f t="shared" ref="AO21:AO31" si="13">AH21*AK21/$AH$14</f>
        <v>0.10861632444248981</v>
      </c>
      <c r="AP21">
        <f>$AH$14/($AH$14-AH21)</f>
        <v>1.2967585773878956</v>
      </c>
      <c r="AQ21">
        <f t="shared" ref="AQ21:AQ31" si="14">AK21*AP21*AH21</f>
        <v>0.14947238423674161</v>
      </c>
      <c r="AR21">
        <f>AH21/$AH$14</f>
        <v>0.22884643492057435</v>
      </c>
      <c r="AS21">
        <f>AG21/($AH$14/AH21-1)</f>
        <v>0.1086163244424859</v>
      </c>
    </row>
    <row r="22" spans="2:45">
      <c r="B22" s="6"/>
      <c r="C22" s="6"/>
      <c r="E22" s="7"/>
      <c r="H22" s="6" t="s">
        <v>16</v>
      </c>
      <c r="I22" t="s">
        <v>7</v>
      </c>
      <c r="J22" s="7" t="s">
        <v>9</v>
      </c>
      <c r="L22" s="3" t="s">
        <v>93</v>
      </c>
      <c r="M22" s="4"/>
      <c r="N22" s="5"/>
      <c r="P22" s="6" t="s">
        <v>21</v>
      </c>
      <c r="Q22" s="2">
        <v>0.85</v>
      </c>
      <c r="R22" s="2">
        <f t="shared" ref="R22:R27" si="15">1-Q22</f>
        <v>0.15000000000000002</v>
      </c>
      <c r="S22">
        <f>T11*Q22</f>
        <v>0.59575323694904614</v>
      </c>
      <c r="T22" s="7">
        <f>R22*T11</f>
        <v>0.10513292416747876</v>
      </c>
      <c r="V22" s="6" t="s">
        <v>36</v>
      </c>
      <c r="W22">
        <f>J27-T26</f>
        <v>692.19631187655193</v>
      </c>
      <c r="X22" s="16">
        <f>W22/$W$23</f>
        <v>0.69219631185848829</v>
      </c>
      <c r="Z22" s="6" t="s">
        <v>47</v>
      </c>
      <c r="AA22">
        <f>AC12</f>
        <v>0.1065955216886157</v>
      </c>
      <c r="AB22">
        <f t="shared" si="7"/>
        <v>5.8561447705291698</v>
      </c>
      <c r="AC22">
        <f>AA22-Y12</f>
        <v>0</v>
      </c>
      <c r="AD22" s="7">
        <f>AB22-W12</f>
        <v>0</v>
      </c>
      <c r="AF22" s="6" t="s">
        <v>39</v>
      </c>
      <c r="AG22">
        <f>J12</f>
        <v>0.29280723852645402</v>
      </c>
      <c r="AH22">
        <f>Q14</f>
        <v>0.54347826099999996</v>
      </c>
      <c r="AI22">
        <f t="shared" si="9"/>
        <v>0.45652173900000004</v>
      </c>
      <c r="AJ22">
        <f>E28</f>
        <v>0.30736055693021247</v>
      </c>
      <c r="AK22">
        <f>N28</f>
        <v>0.60016779545666643</v>
      </c>
      <c r="AL22">
        <f t="shared" si="10"/>
        <v>1.9314530182377876</v>
      </c>
      <c r="AM22" s="6">
        <f t="shared" si="11"/>
        <v>0.60016779545666643</v>
      </c>
      <c r="AN22">
        <f t="shared" si="12"/>
        <v>0.16704378098042336</v>
      </c>
      <c r="AO22">
        <f t="shared" si="13"/>
        <v>0.3073605569296638</v>
      </c>
      <c r="AP22">
        <f>$AH$14/($AH$14-AH22)</f>
        <v>2.0497027275550739</v>
      </c>
      <c r="AQ22">
        <f t="shared" si="14"/>
        <v>0.66856824327906761</v>
      </c>
      <c r="AR22">
        <f t="shared" ref="AR22:AR31" si="16">AH22/$AH$14</f>
        <v>0.51212437464391736</v>
      </c>
      <c r="AS22">
        <f>AG22/($AH$14/AH22-1)</f>
        <v>0.30736055692908792</v>
      </c>
    </row>
    <row r="23" spans="2:45">
      <c r="B23" s="6"/>
      <c r="C23" s="6" t="s">
        <v>16</v>
      </c>
      <c r="D23" t="s">
        <v>7</v>
      </c>
      <c r="E23" s="7" t="s">
        <v>9</v>
      </c>
      <c r="H23" s="6" t="s">
        <v>94</v>
      </c>
      <c r="I23" s="2">
        <f>J23/J35</f>
        <v>4.1789812927435263E-2</v>
      </c>
      <c r="J23" s="7">
        <f>J19</f>
        <v>53.432413288034375</v>
      </c>
      <c r="L23" s="51"/>
      <c r="N23" s="7"/>
      <c r="P23" s="6" t="s">
        <v>22</v>
      </c>
      <c r="Q23" s="2">
        <v>0.85</v>
      </c>
      <c r="R23" s="2">
        <f t="shared" si="15"/>
        <v>0.15000000000000002</v>
      </c>
      <c r="S23">
        <f>Q23*J30</f>
        <v>179.30426938339818</v>
      </c>
      <c r="T23" s="7">
        <f>R23*J30</f>
        <v>31.641929891187917</v>
      </c>
      <c r="V23" s="9" t="s">
        <v>31</v>
      </c>
      <c r="W23" s="18">
        <f>SUM(W18:W22)</f>
        <v>1000.0000000260961</v>
      </c>
      <c r="X23" s="17">
        <f>SUM(X18:X22)</f>
        <v>1</v>
      </c>
      <c r="Z23" s="6" t="s">
        <v>50</v>
      </c>
      <c r="AA23">
        <f>0.5*AC8+AC9+5/2*AC10+AC11+0.5*AC12</f>
        <v>1.4168664293241984</v>
      </c>
      <c r="AB23">
        <f t="shared" si="7"/>
        <v>45.336892005515701</v>
      </c>
      <c r="AC23">
        <f>Y13-AA23</f>
        <v>2.5207603385686284E-3</v>
      </c>
      <c r="AD23" s="68">
        <f>W13-AB23</f>
        <v>8.0659289313516069E-2</v>
      </c>
      <c r="AF23" s="6" t="s">
        <v>47</v>
      </c>
      <c r="AG23">
        <f>J13</f>
        <v>5.8561447705290801</v>
      </c>
      <c r="AH23">
        <f>Q15</f>
        <v>0.12</v>
      </c>
      <c r="AI23">
        <f t="shared" si="9"/>
        <v>0.88</v>
      </c>
      <c r="AJ23">
        <f>E29</f>
        <v>0.74662139880281619</v>
      </c>
      <c r="AK23">
        <f>N29</f>
        <v>6.602766169331896</v>
      </c>
      <c r="AL23">
        <f t="shared" si="10"/>
        <v>1.0624472641683869</v>
      </c>
      <c r="AM23" s="6">
        <f t="shared" si="11"/>
        <v>6.602766169331896</v>
      </c>
      <c r="AN23">
        <f t="shared" si="12"/>
        <v>8.9594567856337945E-2</v>
      </c>
      <c r="AO23">
        <f t="shared" si="13"/>
        <v>0.7466213988027266</v>
      </c>
      <c r="AP23">
        <f t="shared" ref="AP23:AP31" si="17">$AH$14/($AH$14-AH23)</f>
        <v>1.1274936717002064</v>
      </c>
      <c r="AQ23">
        <f t="shared" si="14"/>
        <v>0.89334924859655118</v>
      </c>
      <c r="AR23">
        <f t="shared" si="16"/>
        <v>0.11307706189423847</v>
      </c>
      <c r="AS23">
        <f t="shared" ref="AS23:AS29" si="18">AG23/($AH$14/AH23-1)</f>
        <v>0.74662139880271516</v>
      </c>
    </row>
    <row r="24" spans="2:45">
      <c r="B24" s="6"/>
      <c r="C24" s="6" t="s">
        <v>21</v>
      </c>
      <c r="D24" s="87">
        <v>5.9127875283298778E-4</v>
      </c>
      <c r="E24" s="7">
        <f>D24*E34</f>
        <v>0.10513292416749143</v>
      </c>
      <c r="H24" s="6" t="s">
        <v>21</v>
      </c>
      <c r="I24" s="2">
        <f>J24/$J$35</f>
        <v>2.3269113831063296E-2</v>
      </c>
      <c r="J24" s="7">
        <f>J8+E24</f>
        <v>29.751865824970963</v>
      </c>
      <c r="L24" s="6" t="s">
        <v>21</v>
      </c>
      <c r="M24" s="27">
        <f>N24/$N$30</f>
        <v>3.4779682134915772E-2</v>
      </c>
      <c r="N24">
        <f>J24</f>
        <v>29.751865824970963</v>
      </c>
      <c r="O24" s="4"/>
      <c r="P24" t="s">
        <v>46</v>
      </c>
      <c r="Q24" s="2">
        <v>0.85</v>
      </c>
      <c r="R24" s="2">
        <f t="shared" si="15"/>
        <v>0.15000000000000002</v>
      </c>
      <c r="S24">
        <f>J31*Q24</f>
        <v>107.23801162198799</v>
      </c>
      <c r="T24" s="7">
        <f>J31*R24</f>
        <v>18.924354992115532</v>
      </c>
      <c r="Z24" s="9" t="s">
        <v>59</v>
      </c>
      <c r="AA24">
        <f>3*AC10</f>
        <v>1.7724981346843194E-2</v>
      </c>
      <c r="AB24">
        <f t="shared" si="7"/>
        <v>0.99396377898692578</v>
      </c>
      <c r="AC24">
        <f>Y14-AA24</f>
        <v>-2.5948085894045986E-4</v>
      </c>
      <c r="AD24" s="68">
        <f>W14-AB24</f>
        <v>-1.4550908126804263E-2</v>
      </c>
      <c r="AF24" t="s">
        <v>21</v>
      </c>
      <c r="AG24">
        <f>J8</f>
        <v>29.646732900803471</v>
      </c>
      <c r="AH24">
        <f>R22*Q11</f>
        <v>3.7500000000000007E-3</v>
      </c>
      <c r="AI24">
        <f t="shared" si="9"/>
        <v>0.99624999999999997</v>
      </c>
      <c r="AJ24">
        <f>E24</f>
        <v>0.10513292416749143</v>
      </c>
      <c r="AK24">
        <f>J24</f>
        <v>29.751865824970963</v>
      </c>
      <c r="AL24">
        <f t="shared" si="10"/>
        <v>0.94565045458689245</v>
      </c>
      <c r="AM24" s="6">
        <f t="shared" si="11"/>
        <v>29.751865824970963</v>
      </c>
      <c r="AN24">
        <f t="shared" si="12"/>
        <v>3.9424846562809292E-4</v>
      </c>
      <c r="AO24">
        <f t="shared" si="13"/>
        <v>0.10513292416747877</v>
      </c>
      <c r="AP24">
        <f t="shared" si="17"/>
        <v>1.0035461892047008</v>
      </c>
      <c r="AQ24">
        <f t="shared" si="14"/>
        <v>0.11196514338892195</v>
      </c>
      <c r="AR24">
        <f t="shared" si="16"/>
        <v>3.533658184194953E-3</v>
      </c>
      <c r="AS24">
        <f t="shared" si="18"/>
        <v>0.10513292416747873</v>
      </c>
    </row>
    <row r="25" spans="2:45">
      <c r="B25" s="6"/>
      <c r="C25" s="6" t="s">
        <v>25</v>
      </c>
      <c r="D25" s="87">
        <v>0</v>
      </c>
      <c r="E25">
        <f t="shared" ref="E25:E33" si="19">D25*$E$34</f>
        <v>0</v>
      </c>
      <c r="F25" s="4"/>
      <c r="G25" s="4"/>
      <c r="H25" t="s">
        <v>25</v>
      </c>
      <c r="I25" s="2">
        <f t="shared" ref="I25:I34" si="20">J25/$J$35</f>
        <v>2.8625788563623683E-3</v>
      </c>
      <c r="J25" s="7">
        <f t="shared" ref="J25:J29" si="21">J9+E25</f>
        <v>3.6600904815806752</v>
      </c>
      <c r="L25" s="6" t="s">
        <v>25</v>
      </c>
      <c r="M25" s="27">
        <f t="shared" ref="M25:M29" si="22">N25/$N$30</f>
        <v>4.2786151390735811E-3</v>
      </c>
      <c r="N25">
        <f>J25</f>
        <v>3.6600904815806752</v>
      </c>
      <c r="O25" s="10"/>
      <c r="P25" t="s">
        <v>65</v>
      </c>
      <c r="Q25" s="2">
        <v>0.85</v>
      </c>
      <c r="R25" s="2">
        <f t="shared" si="15"/>
        <v>0.15000000000000002</v>
      </c>
      <c r="S25">
        <f>Q25*J32</f>
        <v>20.665653907208917</v>
      </c>
      <c r="T25" s="7">
        <f>J32*R25</f>
        <v>3.6468801012721626</v>
      </c>
      <c r="W25" s="3" t="s">
        <v>95</v>
      </c>
      <c r="X25" s="4"/>
      <c r="Y25" s="5"/>
      <c r="AA25" s="9" t="s">
        <v>96</v>
      </c>
      <c r="AB25" s="10"/>
      <c r="AD25" s="7">
        <f>AD13+AD23+D24</f>
        <v>85.638137555218336</v>
      </c>
      <c r="AF25" s="6" t="s">
        <v>22</v>
      </c>
      <c r="AG25">
        <f>M8</f>
        <v>179.3042693833944</v>
      </c>
      <c r="AH25">
        <f>$Q$16*R23</f>
        <v>0.15918347805000002</v>
      </c>
      <c r="AI25">
        <f t="shared" si="9"/>
        <v>0.84081652195000001</v>
      </c>
      <c r="AJ25">
        <f>E30</f>
        <v>31.641929891191708</v>
      </c>
      <c r="AK25">
        <f>J30</f>
        <v>210.94619927458609</v>
      </c>
      <c r="AL25">
        <f t="shared" si="10"/>
        <v>1.1085986460219457</v>
      </c>
      <c r="AM25" s="6">
        <f t="shared" si="11"/>
        <v>210.94619927458609</v>
      </c>
      <c r="AN25">
        <f t="shared" si="12"/>
        <v>5.0368724522941548</v>
      </c>
      <c r="AO25">
        <f t="shared" si="13"/>
        <v>31.641929891187921</v>
      </c>
      <c r="AP25">
        <f t="shared" si="17"/>
        <v>1.1764705882352942</v>
      </c>
      <c r="AQ25">
        <f t="shared" si="14"/>
        <v>39.50488197877295</v>
      </c>
      <c r="AR25">
        <f t="shared" si="16"/>
        <v>0.15000000000000002</v>
      </c>
      <c r="AS25">
        <f t="shared" si="18"/>
        <v>31.641929891187257</v>
      </c>
    </row>
    <row r="26" spans="2:45">
      <c r="B26" s="6"/>
      <c r="C26" s="6" t="s">
        <v>30</v>
      </c>
      <c r="D26" s="87">
        <v>6.1086976665227063E-4</v>
      </c>
      <c r="E26">
        <f t="shared" si="19"/>
        <v>0.10861632444250302</v>
      </c>
      <c r="F26" s="10"/>
      <c r="G26" s="10"/>
      <c r="H26" t="s">
        <v>30</v>
      </c>
      <c r="I26" s="2">
        <f t="shared" si="20"/>
        <v>3.7120736854372676E-4</v>
      </c>
      <c r="J26">
        <f t="shared" si="21"/>
        <v>0.47462537260057053</v>
      </c>
      <c r="K26" s="4"/>
      <c r="L26" t="s">
        <v>30</v>
      </c>
      <c r="M26" s="27">
        <f t="shared" si="22"/>
        <v>5.548330880935571E-4</v>
      </c>
      <c r="N26" s="7">
        <f t="shared" ref="N25:N29" si="23">J26</f>
        <v>0.47462537260057053</v>
      </c>
      <c r="P26" s="6" t="s">
        <v>36</v>
      </c>
      <c r="Q26" s="2">
        <v>0.85</v>
      </c>
      <c r="R26" s="2">
        <f t="shared" si="15"/>
        <v>0.15000000000000002</v>
      </c>
      <c r="S26">
        <f>Q26*Q7</f>
        <v>692.19631187655193</v>
      </c>
      <c r="T26">
        <f>N27*R26</f>
        <v>122.15229033115624</v>
      </c>
      <c r="U26" s="4"/>
      <c r="V26" s="4"/>
      <c r="W26" t="s">
        <v>16</v>
      </c>
      <c r="X26" t="s">
        <v>7</v>
      </c>
      <c r="Y26" s="7" t="s">
        <v>9</v>
      </c>
      <c r="AC26" s="55" t="s">
        <v>97</v>
      </c>
      <c r="AD26" s="11">
        <f>AD14+AD23+AD24</f>
        <v>17.875269085384506</v>
      </c>
      <c r="AF26" t="s">
        <v>46</v>
      </c>
      <c r="AG26">
        <f>M12</f>
        <v>107.23801162198572</v>
      </c>
      <c r="AH26">
        <f>$Q$16*R24</f>
        <v>0.15918347805000002</v>
      </c>
      <c r="AI26">
        <f t="shared" si="9"/>
        <v>0.84081652195000001</v>
      </c>
      <c r="AJ26">
        <f>E31</f>
        <v>18.924354992117795</v>
      </c>
      <c r="AK26">
        <f>J31</f>
        <v>126.16236661410352</v>
      </c>
      <c r="AL26">
        <f t="shared" si="10"/>
        <v>1.1085986460219457</v>
      </c>
      <c r="AM26" s="6">
        <f t="shared" si="11"/>
        <v>126.16236661410352</v>
      </c>
      <c r="AN26">
        <f t="shared" si="12"/>
        <v>3.0124446474981914</v>
      </c>
      <c r="AO26">
        <f t="shared" si="13"/>
        <v>18.924354992115529</v>
      </c>
      <c r="AP26">
        <f t="shared" si="17"/>
        <v>1.1764705882352942</v>
      </c>
      <c r="AQ26">
        <f t="shared" si="14"/>
        <v>23.627016843120238</v>
      </c>
      <c r="AR26">
        <f t="shared" si="16"/>
        <v>0.15000000000000002</v>
      </c>
      <c r="AS26">
        <f t="shared" si="18"/>
        <v>18.924354992115131</v>
      </c>
    </row>
    <row r="27" spans="2:45">
      <c r="B27" s="6"/>
      <c r="C27" s="6" t="s">
        <v>36</v>
      </c>
      <c r="D27" s="87">
        <v>0.68699747918779042</v>
      </c>
      <c r="E27" s="7">
        <f t="shared" si="19"/>
        <v>122.15229033117086</v>
      </c>
      <c r="H27" s="6" t="s">
        <v>36</v>
      </c>
      <c r="I27" s="2">
        <f t="shared" si="20"/>
        <v>0.63690695684148535</v>
      </c>
      <c r="J27">
        <f t="shared" si="21"/>
        <v>814.34860220770815</v>
      </c>
      <c r="K27" s="10"/>
      <c r="L27" t="s">
        <v>36</v>
      </c>
      <c r="M27" s="27">
        <f>N27/$N$30</f>
        <v>0.95196670011954454</v>
      </c>
      <c r="N27" s="7">
        <f>J27</f>
        <v>814.34860220770815</v>
      </c>
      <c r="P27" s="6" t="s">
        <v>59</v>
      </c>
      <c r="Q27" s="2">
        <v>0.85</v>
      </c>
      <c r="R27" s="2">
        <f t="shared" si="15"/>
        <v>0.15000000000000002</v>
      </c>
      <c r="S27">
        <f>J33*Q27</f>
        <v>0.97941287086012152</v>
      </c>
      <c r="T27">
        <f>R27*J33</f>
        <v>0.17283756544590381</v>
      </c>
      <c r="U27" s="10"/>
      <c r="V27" s="10"/>
      <c r="W27" t="s">
        <v>21</v>
      </c>
      <c r="X27" s="31">
        <f>Y27/$Y$37</f>
        <v>5.9127875283298908E-4</v>
      </c>
      <c r="Y27" s="7">
        <f>T22</f>
        <v>0.10513292416747876</v>
      </c>
      <c r="AD27" s="7"/>
      <c r="AF27" t="s">
        <v>65</v>
      </c>
      <c r="AG27">
        <f>M16</f>
        <v>20.66565390720848</v>
      </c>
      <c r="AH27">
        <f>$Q$16*R25</f>
        <v>0.15918347805000002</v>
      </c>
      <c r="AI27">
        <f t="shared" si="9"/>
        <v>0.84081652195000001</v>
      </c>
      <c r="AJ27">
        <f>E32</f>
        <v>3.6468801012725991</v>
      </c>
      <c r="AK27">
        <f>J32</f>
        <v>24.31253400848108</v>
      </c>
      <c r="AL27">
        <f t="shared" si="10"/>
        <v>1.1085986460219457</v>
      </c>
      <c r="AM27" s="6">
        <f t="shared" si="11"/>
        <v>24.31253400848108</v>
      </c>
      <c r="AN27">
        <f t="shared" si="12"/>
        <v>0.58052305855190867</v>
      </c>
      <c r="AO27">
        <f t="shared" si="13"/>
        <v>3.646880101272163</v>
      </c>
      <c r="AP27">
        <f t="shared" si="17"/>
        <v>1.1764705882352942</v>
      </c>
      <c r="AQ27">
        <f t="shared" si="14"/>
        <v>4.5531220278575617</v>
      </c>
      <c r="AR27">
        <f t="shared" si="16"/>
        <v>0.15000000000000002</v>
      </c>
      <c r="AS27">
        <f t="shared" si="18"/>
        <v>3.6468801012720857</v>
      </c>
    </row>
    <row r="28" spans="2:45">
      <c r="B28" s="6"/>
      <c r="C28" s="6" t="s">
        <v>39</v>
      </c>
      <c r="D28" s="87">
        <v>1.7286284787648265E-3</v>
      </c>
      <c r="E28" s="7">
        <f t="shared" si="19"/>
        <v>0.30736055693021247</v>
      </c>
      <c r="F28" s="32"/>
      <c r="G28" s="33"/>
      <c r="H28" s="6" t="s">
        <v>39</v>
      </c>
      <c r="I28" s="2">
        <f t="shared" si="20"/>
        <v>4.6939485517907392E-4</v>
      </c>
      <c r="J28" s="50">
        <f t="shared" si="21"/>
        <v>0.60016779545666643</v>
      </c>
      <c r="L28" s="6" t="s">
        <v>39</v>
      </c>
      <c r="M28" s="27">
        <f t="shared" si="22"/>
        <v>7.0159112965871866E-4</v>
      </c>
      <c r="N28" s="7">
        <f t="shared" si="23"/>
        <v>0.60016779545666643</v>
      </c>
      <c r="P28" s="9"/>
      <c r="R28" s="10" t="s">
        <v>98</v>
      </c>
      <c r="S28" s="10">
        <f>SUM(S21:S27)</f>
        <v>1046.3969641917854</v>
      </c>
      <c r="T28" s="11">
        <f>SUM(T12:T15,T22:T27)</f>
        <v>177.80602408552014</v>
      </c>
      <c r="W28" s="6" t="s">
        <v>25</v>
      </c>
      <c r="X28" s="31">
        <f>Y28/$Y$37</f>
        <v>0</v>
      </c>
      <c r="Y28" s="7">
        <f>T12</f>
        <v>0</v>
      </c>
      <c r="AA28" s="29"/>
      <c r="AD28" s="7"/>
      <c r="AF28" s="6" t="s">
        <v>36</v>
      </c>
      <c r="AG28">
        <f>J11</f>
        <v>692.19631187653727</v>
      </c>
      <c r="AH28">
        <f>$Q$16*R26</f>
        <v>0.15918347805000002</v>
      </c>
      <c r="AI28">
        <f t="shared" si="9"/>
        <v>0.84081652195000001</v>
      </c>
      <c r="AJ28">
        <f>E27</f>
        <v>122.15229033117086</v>
      </c>
      <c r="AK28">
        <f>J27</f>
        <v>814.34860220770815</v>
      </c>
      <c r="AL28">
        <f t="shared" si="10"/>
        <v>1.1085986460219457</v>
      </c>
      <c r="AM28" s="6">
        <f t="shared" si="11"/>
        <v>814.34860220770815</v>
      </c>
      <c r="AN28">
        <f t="shared" si="12"/>
        <v>19.444626426689165</v>
      </c>
      <c r="AO28">
        <f t="shared" si="13"/>
        <v>122.15229033115625</v>
      </c>
      <c r="AP28">
        <f t="shared" si="17"/>
        <v>1.1764705882352942</v>
      </c>
      <c r="AQ28">
        <f t="shared" si="14"/>
        <v>152.50687393479873</v>
      </c>
      <c r="AR28">
        <f t="shared" si="16"/>
        <v>0.15000000000000002</v>
      </c>
      <c r="AS28">
        <f t="shared" si="18"/>
        <v>122.15229033115367</v>
      </c>
    </row>
    <row r="29" spans="2:45">
      <c r="B29" s="6"/>
      <c r="C29" s="6" t="s">
        <v>47</v>
      </c>
      <c r="D29" s="87">
        <v>4.1990781957062318E-3</v>
      </c>
      <c r="E29" s="7">
        <f t="shared" si="19"/>
        <v>0.74662139880281619</v>
      </c>
      <c r="H29" s="6" t="s">
        <v>47</v>
      </c>
      <c r="I29" s="2">
        <f t="shared" si="20"/>
        <v>5.1640632724662934E-3</v>
      </c>
      <c r="J29" s="7">
        <f t="shared" si="21"/>
        <v>6.602766169331896</v>
      </c>
      <c r="L29" s="6" t="s">
        <v>47</v>
      </c>
      <c r="M29" s="27">
        <f t="shared" si="22"/>
        <v>7.7185783887139762E-3</v>
      </c>
      <c r="N29" s="7">
        <f t="shared" si="23"/>
        <v>6.602766169331896</v>
      </c>
      <c r="Q29" s="57"/>
      <c r="W29" s="6" t="s">
        <v>30</v>
      </c>
      <c r="X29" s="31">
        <f t="shared" ref="X29:X36" si="24">Y29/$Y$37</f>
        <v>6.1086976665227118E-4</v>
      </c>
      <c r="Y29" s="7">
        <f>T13</f>
        <v>0.1086163244424898</v>
      </c>
      <c r="AA29" s="3" t="s">
        <v>99</v>
      </c>
      <c r="AB29" s="4"/>
      <c r="AC29" s="37" t="s">
        <v>100</v>
      </c>
      <c r="AD29" s="5"/>
      <c r="AF29" s="6" t="s">
        <v>59</v>
      </c>
      <c r="AG29">
        <f>J18</f>
        <v>0.97941287086010076</v>
      </c>
      <c r="AH29">
        <f>$Q$16*R27</f>
        <v>0.15918347805000002</v>
      </c>
      <c r="AI29">
        <f t="shared" si="9"/>
        <v>0.84081652195000001</v>
      </c>
      <c r="AJ29">
        <f>E33</f>
        <v>0.17283756544592449</v>
      </c>
      <c r="AK29">
        <f>J33</f>
        <v>1.1522504363060253</v>
      </c>
      <c r="AL29">
        <f t="shared" si="10"/>
        <v>1.1085986460219457</v>
      </c>
      <c r="AM29" s="6">
        <f t="shared" si="11"/>
        <v>1.1522504363060253</v>
      </c>
      <c r="AN29">
        <f t="shared" si="12"/>
        <v>2.7512884805376763E-2</v>
      </c>
      <c r="AO29">
        <f t="shared" si="13"/>
        <v>0.17283756544590384</v>
      </c>
      <c r="AP29">
        <f t="shared" si="17"/>
        <v>1.1764705882352942</v>
      </c>
      <c r="AQ29">
        <f t="shared" si="14"/>
        <v>0.21578733180685075</v>
      </c>
      <c r="AR29">
        <f t="shared" si="16"/>
        <v>0.15000000000000002</v>
      </c>
      <c r="AS29">
        <f t="shared" si="18"/>
        <v>0.17283756544590018</v>
      </c>
    </row>
    <row r="30" spans="2:45">
      <c r="B30" s="6"/>
      <c r="C30" s="6" t="s">
        <v>22</v>
      </c>
      <c r="D30" s="87">
        <v>0.17795758076210552</v>
      </c>
      <c r="E30" s="7">
        <f t="shared" si="19"/>
        <v>31.641929891191708</v>
      </c>
      <c r="H30" s="6" t="s">
        <v>22</v>
      </c>
      <c r="I30" s="2">
        <f>J30/$J$35</f>
        <v>0.16498229563238814</v>
      </c>
      <c r="J30" s="7">
        <f>M8+E30</f>
        <v>210.94619927458609</v>
      </c>
      <c r="L30" s="52" t="s">
        <v>31</v>
      </c>
      <c r="M30" s="35">
        <v>1</v>
      </c>
      <c r="N30" s="11">
        <f>SUM(N24:N29)</f>
        <v>855.43811785164883</v>
      </c>
      <c r="Q30" s="57"/>
      <c r="W30" s="6" t="s">
        <v>36</v>
      </c>
      <c r="X30" s="31">
        <f t="shared" si="24"/>
        <v>0.68699747918779241</v>
      </c>
      <c r="Y30" s="7">
        <f>T26</f>
        <v>122.15229033115624</v>
      </c>
      <c r="AA30" s="6" t="s">
        <v>101</v>
      </c>
      <c r="AC30" s="9" t="s">
        <v>102</v>
      </c>
      <c r="AD30" s="11"/>
      <c r="AF30" t="s">
        <v>103</v>
      </c>
      <c r="AG30">
        <f>J34</f>
        <v>7.1551249597131443</v>
      </c>
      <c r="AH30">
        <v>0</v>
      </c>
      <c r="AI30">
        <f t="shared" si="9"/>
        <v>1</v>
      </c>
      <c r="AJ30">
        <v>0</v>
      </c>
      <c r="AK30">
        <f>J34</f>
        <v>7.1551249597131443</v>
      </c>
      <c r="AL30">
        <f t="shared" si="10"/>
        <v>0.94230884911865387</v>
      </c>
      <c r="AM30" s="6">
        <f t="shared" si="11"/>
        <v>7.1551249597131443</v>
      </c>
      <c r="AN30">
        <f t="shared" si="12"/>
        <v>0</v>
      </c>
      <c r="AO30">
        <f t="shared" si="13"/>
        <v>0</v>
      </c>
      <c r="AP30">
        <f t="shared" si="17"/>
        <v>1</v>
      </c>
      <c r="AQ30">
        <f t="shared" si="14"/>
        <v>0</v>
      </c>
      <c r="AR30">
        <f t="shared" si="16"/>
        <v>0</v>
      </c>
    </row>
    <row r="31" spans="2:45">
      <c r="B31" s="6"/>
      <c r="C31" s="6" t="s">
        <v>46</v>
      </c>
      <c r="D31" s="87">
        <v>0.10643258623798564</v>
      </c>
      <c r="E31" s="7">
        <f t="shared" si="19"/>
        <v>18.924354992117795</v>
      </c>
      <c r="H31" s="6" t="s">
        <v>46</v>
      </c>
      <c r="I31" s="2">
        <f t="shared" si="20"/>
        <v>9.8672348390196452E-2</v>
      </c>
      <c r="J31" s="7">
        <f>M12+E31</f>
        <v>126.16236661410352</v>
      </c>
      <c r="L31" s="27"/>
      <c r="M31" s="2"/>
      <c r="Q31" s="57"/>
      <c r="S31" s="3" t="s">
        <v>104</v>
      </c>
      <c r="T31" s="4"/>
      <c r="U31" s="5"/>
      <c r="W31" s="6" t="s">
        <v>39</v>
      </c>
      <c r="X31" s="31">
        <f t="shared" si="24"/>
        <v>1.7286284787619527E-3</v>
      </c>
      <c r="Y31" s="7">
        <f>T14</f>
        <v>0.3073605569296638</v>
      </c>
      <c r="AA31" s="8" t="s">
        <v>105</v>
      </c>
      <c r="AC31" s="38" t="s">
        <v>106</v>
      </c>
      <c r="AD31" s="39" t="s">
        <v>107</v>
      </c>
      <c r="AF31" t="s">
        <v>94</v>
      </c>
      <c r="AG31">
        <f>J19</f>
        <v>53.432413288034375</v>
      </c>
      <c r="AH31">
        <v>0</v>
      </c>
      <c r="AI31">
        <f t="shared" si="9"/>
        <v>1</v>
      </c>
      <c r="AJ31">
        <v>0</v>
      </c>
      <c r="AK31">
        <f>J23</f>
        <v>53.432413288034375</v>
      </c>
      <c r="AL31">
        <f t="shared" si="10"/>
        <v>0.94230884911865387</v>
      </c>
      <c r="AM31" s="6">
        <f t="shared" si="11"/>
        <v>53.432413288034375</v>
      </c>
      <c r="AN31">
        <f t="shared" si="12"/>
        <v>0</v>
      </c>
      <c r="AO31">
        <f t="shared" si="13"/>
        <v>0</v>
      </c>
      <c r="AP31">
        <f t="shared" si="17"/>
        <v>1</v>
      </c>
      <c r="AQ31">
        <f t="shared" si="14"/>
        <v>0</v>
      </c>
      <c r="AR31">
        <f t="shared" si="16"/>
        <v>0</v>
      </c>
    </row>
    <row r="32" spans="2:45">
      <c r="B32" s="6"/>
      <c r="C32" s="6" t="s">
        <v>65</v>
      </c>
      <c r="D32" s="87">
        <v>2.0510441758250533E-2</v>
      </c>
      <c r="E32" s="7">
        <f t="shared" si="19"/>
        <v>3.6468801012725991</v>
      </c>
      <c r="H32" s="6" t="s">
        <v>65</v>
      </c>
      <c r="I32" s="2">
        <f t="shared" si="20"/>
        <v>1.9014979587939709E-2</v>
      </c>
      <c r="J32" s="7">
        <f>M16+E32</f>
        <v>24.31253400848108</v>
      </c>
      <c r="L32"/>
      <c r="M32" s="2"/>
      <c r="Q32" s="57"/>
      <c r="S32" s="6"/>
      <c r="U32" s="7" t="s">
        <v>108</v>
      </c>
      <c r="W32" s="6" t="s">
        <v>47</v>
      </c>
      <c r="X32" s="31">
        <f t="shared" si="24"/>
        <v>4.1990781957062422E-3</v>
      </c>
      <c r="Y32" s="7">
        <f>T15</f>
        <v>0.74662139880272649</v>
      </c>
      <c r="AA32" s="6" t="s">
        <v>109</v>
      </c>
      <c r="AC32" s="9" t="s">
        <v>110</v>
      </c>
      <c r="AD32" s="11"/>
      <c r="AN32">
        <f>SUM(AN20:AN31)</f>
        <v>28.385390317378452</v>
      </c>
    </row>
    <row r="33" spans="2:40">
      <c r="B33" s="6"/>
      <c r="C33" s="6" t="s">
        <v>59</v>
      </c>
      <c r="D33" s="87">
        <v>9.7205685991141031E-4</v>
      </c>
      <c r="E33" s="7">
        <f t="shared" si="19"/>
        <v>0.17283756544592449</v>
      </c>
      <c r="H33" s="6" t="s">
        <v>59</v>
      </c>
      <c r="I33" s="2">
        <f t="shared" si="20"/>
        <v>9.0118202071864234E-4</v>
      </c>
      <c r="J33" s="7">
        <f>E33+J18</f>
        <v>1.1522504363060253</v>
      </c>
      <c r="L33"/>
      <c r="M33" s="2"/>
      <c r="Q33" s="57"/>
      <c r="S33" s="6" t="s">
        <v>61</v>
      </c>
      <c r="U33" s="7">
        <f>W23</f>
        <v>1000.0000000260961</v>
      </c>
      <c r="W33" s="6" t="s">
        <v>22</v>
      </c>
      <c r="X33" s="31">
        <f t="shared" si="24"/>
        <v>0.17795758076210602</v>
      </c>
      <c r="Y33" s="7">
        <f>T23</f>
        <v>31.641929891187917</v>
      </c>
      <c r="AA33" s="12" t="s">
        <v>111</v>
      </c>
      <c r="AB33" s="13" t="s">
        <v>112</v>
      </c>
      <c r="AC33" s="15" t="s">
        <v>100</v>
      </c>
      <c r="AD33" s="5"/>
    </row>
    <row r="34" spans="2:40" ht="15" customHeight="1">
      <c r="B34" s="6"/>
      <c r="C34" s="6" t="s">
        <v>31</v>
      </c>
      <c r="D34" s="29">
        <f>SUM(D24:D33)</f>
        <v>1</v>
      </c>
      <c r="E34" s="7">
        <f>F17</f>
        <v>177.80602408554194</v>
      </c>
      <c r="H34" s="6" t="s">
        <v>26</v>
      </c>
      <c r="I34" s="2">
        <f t="shared" si="20"/>
        <v>5.5960664162214716E-3</v>
      </c>
      <c r="J34">
        <f>M17+M13+M9+J15</f>
        <v>7.1551249597131443</v>
      </c>
      <c r="K34" s="3"/>
      <c r="L34" s="59"/>
      <c r="M34" s="60"/>
      <c r="N34" s="59"/>
      <c r="O34" s="59"/>
      <c r="P34" s="59"/>
      <c r="Q34" s="57"/>
      <c r="R34" s="61"/>
      <c r="S34" s="6" t="s">
        <v>64</v>
      </c>
      <c r="U34" s="7">
        <f>AD26</f>
        <v>17.875269085384506</v>
      </c>
      <c r="V34" s="53"/>
      <c r="W34" t="s">
        <v>46</v>
      </c>
      <c r="X34" s="31">
        <f t="shared" si="24"/>
        <v>0.10643258623798597</v>
      </c>
      <c r="Y34" s="7">
        <f>T24</f>
        <v>18.924354992115532</v>
      </c>
      <c r="AA34" s="40" t="s">
        <v>113</v>
      </c>
      <c r="AB34" s="41" t="s">
        <v>113</v>
      </c>
      <c r="AC34" s="9" t="s">
        <v>114</v>
      </c>
      <c r="AD34" s="45"/>
      <c r="AG34">
        <f>SUM(AG20:AG30)</f>
        <v>1047.3605690592969</v>
      </c>
    </row>
    <row r="35" spans="2:40">
      <c r="B35" s="6"/>
      <c r="C35" s="9" t="s">
        <v>115</v>
      </c>
      <c r="D35" s="27"/>
      <c r="E35" s="11"/>
      <c r="H35" s="9" t="s">
        <v>31</v>
      </c>
      <c r="I35" s="35">
        <f>SUM(I23:I34)</f>
        <v>0.99999999999999989</v>
      </c>
      <c r="J35" s="10">
        <f>SUM(J23:J34)</f>
        <v>1278.5990064328735</v>
      </c>
      <c r="K35" s="56"/>
      <c r="L35"/>
      <c r="M35" s="2"/>
      <c r="Q35" s="57"/>
      <c r="S35" s="6" t="s">
        <v>116</v>
      </c>
      <c r="U35" s="7">
        <f>S47</f>
        <v>82.917713235872498</v>
      </c>
      <c r="W35" s="6" t="s">
        <v>65</v>
      </c>
      <c r="X35" s="31">
        <f t="shared" si="24"/>
        <v>2.0510441758250592E-2</v>
      </c>
      <c r="Y35" s="7">
        <f>T25</f>
        <v>3.6468801012721626</v>
      </c>
      <c r="AA35" s="6" t="s">
        <v>117</v>
      </c>
      <c r="AC35" t="s">
        <v>118</v>
      </c>
      <c r="AD35" s="42"/>
    </row>
    <row r="36" spans="2:40" ht="15" customHeight="1">
      <c r="B36" s="6"/>
      <c r="D36" s="56"/>
      <c r="K36" s="56"/>
      <c r="L36" s="92" t="s">
        <v>119</v>
      </c>
      <c r="M36" s="92"/>
      <c r="N36" s="92"/>
      <c r="O36" s="93"/>
      <c r="Q36" s="57"/>
      <c r="S36" s="6" t="s">
        <v>69</v>
      </c>
      <c r="U36" s="7">
        <f>Y37</f>
        <v>177.80602408552014</v>
      </c>
      <c r="W36" s="6" t="s">
        <v>59</v>
      </c>
      <c r="X36" s="31">
        <f t="shared" si="24"/>
        <v>9.7205685991141324E-4</v>
      </c>
      <c r="Y36" s="7">
        <f>T27</f>
        <v>0.17283756544590381</v>
      </c>
      <c r="AA36" s="14" t="s">
        <v>120</v>
      </c>
      <c r="AB36" s="6" t="s">
        <v>121</v>
      </c>
      <c r="AC36" s="3" t="s">
        <v>122</v>
      </c>
      <c r="AD36" s="5"/>
      <c r="AG36" t="s">
        <v>123</v>
      </c>
      <c r="AH36" t="s">
        <v>124</v>
      </c>
      <c r="AI36" t="s">
        <v>125</v>
      </c>
      <c r="AK36" t="s">
        <v>126</v>
      </c>
      <c r="AL36" t="s">
        <v>127</v>
      </c>
    </row>
    <row r="37" spans="2:40">
      <c r="B37" s="6"/>
      <c r="D37" s="9"/>
      <c r="E37" s="59"/>
      <c r="F37" s="59"/>
      <c r="G37" s="59"/>
      <c r="H37" s="59"/>
      <c r="I37" s="59"/>
      <c r="J37" s="59"/>
      <c r="K37" s="45"/>
      <c r="L37" s="94"/>
      <c r="M37" s="95"/>
      <c r="N37" s="95"/>
      <c r="O37" s="96"/>
      <c r="Q37" s="57"/>
      <c r="S37" s="9" t="s">
        <v>57</v>
      </c>
      <c r="T37" s="10"/>
      <c r="U37" s="11">
        <f>SUM(U33:U36)</f>
        <v>1278.5990064328735</v>
      </c>
      <c r="W37" s="6" t="s">
        <v>31</v>
      </c>
      <c r="X37" s="29">
        <f>SUM(X27:X36)</f>
        <v>0.99999999999999989</v>
      </c>
      <c r="Y37" s="7">
        <f>SUM(Y27:Y36)</f>
        <v>177.80602408552014</v>
      </c>
      <c r="AA37" s="9"/>
      <c r="AB37" s="10"/>
      <c r="AC37" s="43" t="s">
        <v>128</v>
      </c>
      <c r="AD37" s="44" t="s">
        <v>129</v>
      </c>
      <c r="AG37">
        <f>Q16*AK37</f>
        <v>933.76917736907785</v>
      </c>
      <c r="AH37">
        <f>Q16*AG31+Q16*AK37-AL37</f>
        <v>1150.7793785181627</v>
      </c>
      <c r="AI37">
        <f>AL37</f>
        <v>-160.30648523045596</v>
      </c>
      <c r="AK37">
        <f>SUMPRODUCT(AG20:AG29,AI20:AI29)</f>
        <v>879.89895886912791</v>
      </c>
      <c r="AL37">
        <f>-1*SUMPRODUCT(AG20:AG29,AH20:AH29)</f>
        <v>-160.30648523045596</v>
      </c>
    </row>
    <row r="38" spans="2:40">
      <c r="B38" s="6"/>
      <c r="L38" s="6" t="s">
        <v>21</v>
      </c>
      <c r="M38" s="19">
        <f>ABS(D24-X27)*2/(D24+X27)</f>
        <v>2.2003878893820078E-15</v>
      </c>
      <c r="N38" s="90" t="s">
        <v>130</v>
      </c>
      <c r="O38" s="91"/>
      <c r="Q38" s="57"/>
      <c r="R38" s="9"/>
      <c r="W38" s="6" t="s">
        <v>31</v>
      </c>
      <c r="X38" s="29">
        <f>AJ43+AJ44+AJ45+AJ46+AJ47+AM43+AM44+AM45+AM46+AM47</f>
        <v>0.99999999999999978</v>
      </c>
      <c r="Y38" s="7"/>
      <c r="AD38" s="7"/>
      <c r="AG38" t="s">
        <v>131</v>
      </c>
    </row>
    <row r="39" spans="2:40">
      <c r="B39" s="6"/>
      <c r="C39" s="79" t="s">
        <v>132</v>
      </c>
      <c r="D39" s="80" t="s">
        <v>133</v>
      </c>
      <c r="E39" s="80" t="s">
        <v>134</v>
      </c>
      <c r="F39" s="80" t="s">
        <v>135</v>
      </c>
      <c r="G39" s="81" t="s">
        <v>136</v>
      </c>
      <c r="H39" s="32"/>
      <c r="I39" s="90" t="s">
        <v>137</v>
      </c>
      <c r="J39" s="91"/>
      <c r="L39" s="6" t="s">
        <v>25</v>
      </c>
      <c r="M39" s="19" t="s">
        <v>71</v>
      </c>
      <c r="N39" t="s">
        <v>138</v>
      </c>
      <c r="O39" s="19">
        <f>2*ABS(Y39-C6)/(Y39+C6)</f>
        <v>1.2268956641544654E-13</v>
      </c>
      <c r="Q39" s="6" t="s">
        <v>116</v>
      </c>
      <c r="R39" s="2"/>
      <c r="S39" s="5"/>
      <c r="W39" s="9" t="s">
        <v>139</v>
      </c>
      <c r="X39" s="10"/>
      <c r="Y39" s="54">
        <f>Y37/F7</f>
        <v>0.16152539754238485</v>
      </c>
      <c r="AA39" s="3" t="s">
        <v>140</v>
      </c>
      <c r="AB39" s="4"/>
      <c r="AC39" s="5"/>
      <c r="AD39" s="7"/>
      <c r="AG39">
        <f>(-1*AH37+SQRT(AH37^2-4*AI37))/(2*AG37)</f>
        <v>1.4916499741354016E-4</v>
      </c>
      <c r="AH39">
        <f>(-1*AH37-SQRT(AH37^2-4*AI37))/(2*AG37)</f>
        <v>-1.2325515685127206</v>
      </c>
    </row>
    <row r="40" spans="2:40">
      <c r="B40" s="6"/>
      <c r="C40" s="82" t="s">
        <v>141</v>
      </c>
      <c r="D40" s="32">
        <v>4</v>
      </c>
      <c r="E40" s="32">
        <v>0.1</v>
      </c>
      <c r="F40" s="32">
        <v>2.5000000000000001E-2</v>
      </c>
      <c r="G40" s="50">
        <v>40</v>
      </c>
      <c r="H40" s="32"/>
      <c r="I40" s="6" t="s">
        <v>142</v>
      </c>
      <c r="J40" s="7">
        <f>Y45+V42+V45</f>
        <v>1100.7929823473532</v>
      </c>
      <c r="L40" s="6" t="s">
        <v>30</v>
      </c>
      <c r="M40" s="19">
        <f t="shared" ref="M40:M47" si="25">ABS(D26-X29)*2/(D26+X29)</f>
        <v>8.8742497310615088E-16</v>
      </c>
      <c r="N40" t="s">
        <v>143</v>
      </c>
      <c r="O40" s="19">
        <f>ABS(F18-F19)*2/(F18+F19)</f>
        <v>0</v>
      </c>
      <c r="Q40" s="6"/>
      <c r="R40" s="2"/>
      <c r="S40" s="7"/>
      <c r="AA40" s="6" t="s">
        <v>16</v>
      </c>
      <c r="AB40" t="s">
        <v>9</v>
      </c>
      <c r="AC40" s="7" t="s">
        <v>7</v>
      </c>
      <c r="AD40" s="7"/>
    </row>
    <row r="41" spans="2:40">
      <c r="B41" s="6"/>
      <c r="C41" s="82" t="s">
        <v>144</v>
      </c>
      <c r="D41" s="32">
        <v>4.5999999999999999E-2</v>
      </c>
      <c r="E41" s="32">
        <v>2.5000000000000001E-2</v>
      </c>
      <c r="F41" s="32">
        <v>0.54347826099999996</v>
      </c>
      <c r="G41" s="50">
        <v>1.84</v>
      </c>
      <c r="H41" s="32"/>
      <c r="I41" s="6" t="s">
        <v>145</v>
      </c>
      <c r="J41" s="7">
        <f>F7</f>
        <v>1100.7929823473314</v>
      </c>
      <c r="L41" s="6" t="s">
        <v>36</v>
      </c>
      <c r="M41" s="19">
        <f t="shared" si="25"/>
        <v>2.9088919608379185E-15</v>
      </c>
      <c r="N41" t="s">
        <v>146</v>
      </c>
      <c r="O41" s="19">
        <f>ABS(E7-F7)*2/(E7+F7)</f>
        <v>2.6096087653662721E-11</v>
      </c>
      <c r="Q41" s="6" t="s">
        <v>16</v>
      </c>
      <c r="R41" s="2" t="s">
        <v>7</v>
      </c>
      <c r="S41" s="7" t="s">
        <v>9</v>
      </c>
      <c r="U41" s="64" t="s">
        <v>147</v>
      </c>
      <c r="V41" s="65"/>
      <c r="W41" s="75"/>
      <c r="X41" s="20" t="s">
        <v>148</v>
      </c>
      <c r="Y41" s="21"/>
      <c r="AA41" s="6" t="s">
        <v>21</v>
      </c>
      <c r="AB41">
        <f>AC41*$AB$46</f>
        <v>0.70000000001826723</v>
      </c>
      <c r="AC41" s="48">
        <v>6.9999999999999999E-4</v>
      </c>
      <c r="AD41" s="7"/>
      <c r="AI41" t="s">
        <v>149</v>
      </c>
      <c r="AJ41" s="2"/>
    </row>
    <row r="42" spans="2:40">
      <c r="B42" s="6"/>
      <c r="C42" s="82" t="s">
        <v>150</v>
      </c>
      <c r="D42" s="32">
        <v>0.9</v>
      </c>
      <c r="E42" s="32">
        <v>0</v>
      </c>
      <c r="F42" s="32">
        <v>0</v>
      </c>
      <c r="G42" s="50" t="e">
        <v>#DIV/0!</v>
      </c>
      <c r="H42" s="32"/>
      <c r="I42" s="6"/>
      <c r="J42" s="7"/>
      <c r="L42" s="6" t="s">
        <v>39</v>
      </c>
      <c r="M42" s="19">
        <f t="shared" si="25"/>
        <v>1.6624661190621487E-12</v>
      </c>
      <c r="N42" t="s">
        <v>151</v>
      </c>
      <c r="O42" s="19">
        <f>2*ABS(W18-AB41)/(W18+AB41)</f>
        <v>0.160905271304911</v>
      </c>
      <c r="Q42" s="6" t="s">
        <v>152</v>
      </c>
      <c r="R42" s="2">
        <f>S42/$S$47</f>
        <v>8.6291875167363391E-2</v>
      </c>
      <c r="S42" s="7">
        <f>J34</f>
        <v>7.1551249597131443</v>
      </c>
      <c r="U42" s="66"/>
      <c r="V42" s="67">
        <f>AD26</f>
        <v>17.875269085384506</v>
      </c>
      <c r="X42" s="22"/>
      <c r="Y42" s="23" cm="1">
        <f t="array" ref="Y42">1-0.5*SUMPRODUCT(ABS(AC41:AC45-X18:X22))</f>
        <v>0.9900300767146113</v>
      </c>
      <c r="AA42" s="6" t="s">
        <v>22</v>
      </c>
      <c r="AB42">
        <f t="shared" ref="AB42:AB45" si="26">AC42*$AB$46</f>
        <v>170.00000000443634</v>
      </c>
      <c r="AC42" s="48">
        <v>0.17</v>
      </c>
      <c r="AD42" s="7"/>
      <c r="AI42" t="s">
        <v>16</v>
      </c>
      <c r="AJ42" s="2" t="s">
        <v>7</v>
      </c>
      <c r="AK42" t="s">
        <v>9</v>
      </c>
      <c r="AL42" t="s">
        <v>16</v>
      </c>
      <c r="AM42" t="s">
        <v>7</v>
      </c>
      <c r="AN42" t="s">
        <v>9</v>
      </c>
    </row>
    <row r="43" spans="2:40">
      <c r="B43" s="6"/>
      <c r="C43" s="82" t="s">
        <v>153</v>
      </c>
      <c r="D43" s="32">
        <v>1</v>
      </c>
      <c r="E43" s="32">
        <v>0.12</v>
      </c>
      <c r="F43" s="32">
        <v>0.12</v>
      </c>
      <c r="G43" s="50">
        <v>8.3333333330000006</v>
      </c>
      <c r="H43" s="32"/>
      <c r="I43" s="9"/>
      <c r="J43" s="11"/>
      <c r="L43" s="6" t="s">
        <v>47</v>
      </c>
      <c r="M43" s="19">
        <f t="shared" si="25"/>
        <v>2.4787204169009951E-15</v>
      </c>
      <c r="N43" t="s">
        <v>154</v>
      </c>
      <c r="O43" s="19">
        <f>2*ABS(W19-AB42)/(W19+AB42)</f>
        <v>5.327315005492389E-2</v>
      </c>
      <c r="Q43" s="6" t="s">
        <v>50</v>
      </c>
      <c r="R43" s="2">
        <f>S43/$S$47</f>
        <v>9.6660432137167351E-2</v>
      </c>
      <c r="S43" s="7">
        <f>T21</f>
        <v>8.014861993205157</v>
      </c>
      <c r="U43" s="53"/>
      <c r="Y43" s="76"/>
      <c r="AA43" s="6" t="s">
        <v>46</v>
      </c>
      <c r="AB43">
        <f t="shared" si="26"/>
        <v>110.00000000287058</v>
      </c>
      <c r="AC43" s="48">
        <v>0.11</v>
      </c>
      <c r="AD43" s="7"/>
      <c r="AI43" t="s">
        <v>22</v>
      </c>
      <c r="AJ43" s="29">
        <f>AK43/$T$28</f>
        <v>0.17795758076210602</v>
      </c>
      <c r="AK43">
        <f>T23</f>
        <v>31.641929891187917</v>
      </c>
      <c r="AL43" t="s">
        <v>21</v>
      </c>
      <c r="AM43" s="29">
        <f>AN43/$T$28</f>
        <v>5.9127875283298908E-4</v>
      </c>
      <c r="AN43">
        <f>T22</f>
        <v>0.10513292416747876</v>
      </c>
    </row>
    <row r="44" spans="2:40">
      <c r="B44" s="6"/>
      <c r="C44" s="82" t="s">
        <v>155</v>
      </c>
      <c r="D44" s="32">
        <v>7.0000000000000007E-2</v>
      </c>
      <c r="E44" s="32">
        <v>1.7000000000000001E-2</v>
      </c>
      <c r="F44" s="32">
        <v>0.242857143</v>
      </c>
      <c r="G44" s="50">
        <v>4.1176470590000003</v>
      </c>
      <c r="H44" s="32"/>
      <c r="L44" s="6" t="s">
        <v>22</v>
      </c>
      <c r="M44" s="19">
        <f t="shared" si="25"/>
        <v>2.8074126369990819E-15</v>
      </c>
      <c r="N44" t="s">
        <v>156</v>
      </c>
      <c r="O44" s="19">
        <f>2*ABS(W20-AB43)/(W20+AB43)</f>
        <v>2.5428223727734855E-2</v>
      </c>
      <c r="Q44" s="6" t="s">
        <v>157</v>
      </c>
      <c r="R44" s="2">
        <f>S44/$S$47</f>
        <v>0.81704769269546917</v>
      </c>
      <c r="S44" s="7">
        <f>AD8</f>
        <v>67.74772628295419</v>
      </c>
      <c r="U44" s="64" t="s">
        <v>158</v>
      </c>
      <c r="V44" s="65"/>
      <c r="X44" s="20" t="s">
        <v>159</v>
      </c>
      <c r="Y44" s="21"/>
      <c r="AA44" s="6" t="s">
        <v>65</v>
      </c>
      <c r="AB44">
        <f t="shared" si="26"/>
        <v>20.000000000521922</v>
      </c>
      <c r="AC44" s="48">
        <v>0.02</v>
      </c>
      <c r="AD44" s="7"/>
      <c r="AI44" t="s">
        <v>46</v>
      </c>
      <c r="AJ44" s="29">
        <f>AK44/$T$28</f>
        <v>0.10643258623798597</v>
      </c>
      <c r="AK44">
        <f>T24</f>
        <v>18.924354992115532</v>
      </c>
      <c r="AL44" t="s">
        <v>25</v>
      </c>
      <c r="AM44" s="29">
        <f>AN44/$T$28</f>
        <v>0</v>
      </c>
      <c r="AN44">
        <f>T12</f>
        <v>0</v>
      </c>
    </row>
    <row r="45" spans="2:40">
      <c r="B45" s="6"/>
      <c r="C45" s="82" t="s">
        <v>160</v>
      </c>
      <c r="D45" s="32">
        <v>93.983999999999995</v>
      </c>
      <c r="E45" s="32">
        <v>99.738</v>
      </c>
      <c r="F45" s="32">
        <v>1.061223187</v>
      </c>
      <c r="G45" s="50">
        <v>0.942308849</v>
      </c>
      <c r="H45" s="32" t="s">
        <v>161</v>
      </c>
      <c r="L45" s="6" t="s">
        <v>46</v>
      </c>
      <c r="M45" s="19">
        <f t="shared" si="25"/>
        <v>3.1293696710780043E-15</v>
      </c>
      <c r="N45" t="s">
        <v>162</v>
      </c>
      <c r="O45" s="19">
        <f>2*ABS(W21-AB44)/(W21+AB44)</f>
        <v>3.2737892679524767E-2</v>
      </c>
      <c r="Q45" s="6" t="s">
        <v>59</v>
      </c>
      <c r="R45" s="2">
        <f>S45/$S$47</f>
        <v>0</v>
      </c>
      <c r="S45" s="7">
        <f>0</f>
        <v>0</v>
      </c>
      <c r="U45" s="66"/>
      <c r="V45" s="67">
        <f>S47</f>
        <v>82.917713235872498</v>
      </c>
      <c r="X45" s="22"/>
      <c r="Y45" s="24">
        <f>W23</f>
        <v>1000.0000000260961</v>
      </c>
      <c r="AA45" s="6" t="s">
        <v>36</v>
      </c>
      <c r="AB45">
        <f t="shared" si="26"/>
        <v>699.30000001824908</v>
      </c>
      <c r="AC45" s="48">
        <v>0.69930000000000003</v>
      </c>
      <c r="AD45" s="7"/>
      <c r="AI45" t="s">
        <v>65</v>
      </c>
      <c r="AJ45" s="29">
        <f>AK45/$T$28</f>
        <v>2.0510441758250592E-2</v>
      </c>
      <c r="AK45">
        <f>T25</f>
        <v>3.6468801012721626</v>
      </c>
      <c r="AL45" t="s">
        <v>30</v>
      </c>
      <c r="AM45" s="29">
        <f>AN45/$T$28</f>
        <v>6.1086976665227118E-4</v>
      </c>
      <c r="AN45">
        <f>T13</f>
        <v>0.1086163244424898</v>
      </c>
    </row>
    <row r="46" spans="2:40">
      <c r="B46" s="6"/>
      <c r="C46" s="83" t="s">
        <v>38</v>
      </c>
      <c r="D46" s="10">
        <f>SUM(D40:D45)</f>
        <v>100</v>
      </c>
      <c r="E46" s="10">
        <f>SUM(E40:E45)</f>
        <v>100</v>
      </c>
      <c r="F46" s="10"/>
      <c r="G46" s="11"/>
      <c r="L46" s="6" t="s">
        <v>65</v>
      </c>
      <c r="M46" s="19">
        <f t="shared" si="25"/>
        <v>2.8756376326943717E-15</v>
      </c>
      <c r="N46" t="s">
        <v>163</v>
      </c>
      <c r="O46" s="19">
        <f>2*ABS(W22-AB45)/(W22+AB45)</f>
        <v>1.0210142967643304E-2</v>
      </c>
      <c r="Q46" s="6"/>
      <c r="R46" s="2">
        <f>S46/$S$47</f>
        <v>0</v>
      </c>
      <c r="S46" s="7"/>
      <c r="W46" s="56"/>
      <c r="AA46" s="9" t="s">
        <v>31</v>
      </c>
      <c r="AB46" s="10">
        <f>W23</f>
        <v>1000.0000000260961</v>
      </c>
      <c r="AC46" s="17">
        <f>SUM(AC41:AC45)</f>
        <v>1</v>
      </c>
      <c r="AD46" s="7"/>
      <c r="AI46" t="s">
        <v>36</v>
      </c>
      <c r="AJ46" s="29">
        <f>AK46/$T$28</f>
        <v>0.68699747918779241</v>
      </c>
      <c r="AK46">
        <f>T26</f>
        <v>122.15229033115624</v>
      </c>
      <c r="AL46" t="s">
        <v>39</v>
      </c>
      <c r="AM46" s="29">
        <f>AN46/$T$28</f>
        <v>1.7286284787619527E-3</v>
      </c>
      <c r="AN46">
        <f>T14</f>
        <v>0.3073605569296638</v>
      </c>
    </row>
    <row r="47" spans="2:40">
      <c r="B47" s="9"/>
      <c r="C47" s="10"/>
      <c r="D47" s="10"/>
      <c r="E47" s="10"/>
      <c r="F47" s="10"/>
      <c r="G47" s="10"/>
      <c r="H47" s="10"/>
      <c r="I47" s="10"/>
      <c r="J47" s="10"/>
      <c r="K47" s="11"/>
      <c r="L47" s="9" t="s">
        <v>59</v>
      </c>
      <c r="M47" s="34">
        <f t="shared" si="25"/>
        <v>3.0114965352722729E-15</v>
      </c>
      <c r="N47" s="10" t="s">
        <v>164</v>
      </c>
      <c r="O47" s="34">
        <f>2*ABS(AD25-W15)/(AD25+W15)</f>
        <v>1.7683156266854613E-4</v>
      </c>
      <c r="P47" s="58"/>
      <c r="Q47" s="9" t="s">
        <v>38</v>
      </c>
      <c r="R47" s="35">
        <f>SUM(R42:R46)</f>
        <v>0.99999999999999989</v>
      </c>
      <c r="S47" s="11">
        <f>SUM(S42:S46)</f>
        <v>82.917713235872498</v>
      </c>
      <c r="T47" s="10"/>
      <c r="U47" s="10"/>
      <c r="V47" s="10"/>
      <c r="W47" s="56"/>
      <c r="X47" s="10"/>
      <c r="Y47" s="10"/>
      <c r="Z47" s="10"/>
      <c r="AA47" s="10"/>
      <c r="AB47" s="10"/>
      <c r="AC47" s="10"/>
      <c r="AD47" s="11"/>
      <c r="AI47" t="s">
        <v>59</v>
      </c>
      <c r="AJ47" s="29">
        <f>AK47/$T$28</f>
        <v>9.7205685991141324E-4</v>
      </c>
      <c r="AK47">
        <f>T27</f>
        <v>0.17283756544590381</v>
      </c>
      <c r="AL47" t="s">
        <v>47</v>
      </c>
      <c r="AM47" s="29">
        <f>AN47/$T$28</f>
        <v>4.1990781957062422E-3</v>
      </c>
      <c r="AN47">
        <f>T15</f>
        <v>0.74662139880272649</v>
      </c>
    </row>
    <row r="48" spans="2:40">
      <c r="W48" s="56"/>
      <c r="AI48" t="s">
        <v>165</v>
      </c>
      <c r="AJ48" s="2">
        <f>SUM(AJ43:AJ47)+SUM(AM43:AM47)</f>
        <v>0.99999999999999989</v>
      </c>
      <c r="AK48" t="s">
        <v>166</v>
      </c>
      <c r="AL48">
        <f>SUM(AK43:AK47)+SUM(AN43:AN48)</f>
        <v>177.80602408552014</v>
      </c>
    </row>
    <row r="49" spans="3:29">
      <c r="W49" s="56"/>
    </row>
    <row r="50" spans="3:29">
      <c r="W50" s="56"/>
    </row>
    <row r="51" spans="3:29">
      <c r="C51" t="s">
        <v>167</v>
      </c>
      <c r="H51" s="1"/>
      <c r="L51"/>
      <c r="M51" s="2"/>
      <c r="S51" s="3" t="s">
        <v>168</v>
      </c>
      <c r="T51" s="4"/>
      <c r="U51" s="4"/>
      <c r="V51" s="4"/>
      <c r="X51" s="4"/>
      <c r="Y51" s="4"/>
      <c r="Z51" s="4"/>
      <c r="AA51" s="4"/>
      <c r="AB51" s="4"/>
      <c r="AC51" s="5"/>
    </row>
    <row r="52" spans="3:29">
      <c r="H52" s="1"/>
      <c r="L52"/>
      <c r="M52" s="2"/>
      <c r="S52" s="6" t="s">
        <v>169</v>
      </c>
      <c r="T52">
        <v>1000</v>
      </c>
      <c r="V52" t="s">
        <v>170</v>
      </c>
      <c r="AC52" s="7"/>
    </row>
    <row r="53" spans="3:29">
      <c r="C53" t="s">
        <v>12</v>
      </c>
      <c r="H53" s="1"/>
      <c r="I53" s="1" t="s">
        <v>171</v>
      </c>
      <c r="L53"/>
      <c r="M53" s="2"/>
      <c r="S53" s="6" t="s">
        <v>172</v>
      </c>
      <c r="V53" t="s">
        <v>16</v>
      </c>
      <c r="W53" t="s">
        <v>173</v>
      </c>
      <c r="X53" t="s">
        <v>174</v>
      </c>
      <c r="Y53" t="s">
        <v>175</v>
      </c>
      <c r="Z53" t="s">
        <v>176</v>
      </c>
      <c r="AA53" t="s">
        <v>177</v>
      </c>
      <c r="AB53" t="s">
        <v>178</v>
      </c>
      <c r="AC53" s="7" t="s">
        <v>179</v>
      </c>
    </row>
    <row r="54" spans="3:29">
      <c r="C54" t="s">
        <v>16</v>
      </c>
      <c r="D54" t="s">
        <v>19</v>
      </c>
      <c r="E54" t="s">
        <v>17</v>
      </c>
      <c r="F54" t="s">
        <v>180</v>
      </c>
      <c r="H54" s="1"/>
      <c r="I54" s="1" t="s">
        <v>16</v>
      </c>
      <c r="J54" t="s">
        <v>181</v>
      </c>
      <c r="K54" t="s">
        <v>182</v>
      </c>
      <c r="L54" t="s">
        <v>17</v>
      </c>
      <c r="M54" s="2" t="s">
        <v>180</v>
      </c>
      <c r="S54" s="6" t="s">
        <v>183</v>
      </c>
      <c r="V54" t="s">
        <v>184</v>
      </c>
      <c r="W54" s="69">
        <v>300</v>
      </c>
      <c r="X54" t="s">
        <v>185</v>
      </c>
      <c r="Y54" s="70">
        <f>W54/$U$55</f>
        <v>2.9999999999999997E-4</v>
      </c>
      <c r="Z54">
        <f>F8</f>
        <v>732.01809631613503</v>
      </c>
      <c r="AA54" s="69">
        <f>Y54*Z54</f>
        <v>0.2196054288948405</v>
      </c>
      <c r="AB54" s="69">
        <f>$T$52*AA54</f>
        <v>219.60542889484049</v>
      </c>
      <c r="AC54" s="71">
        <f>AB54*365</f>
        <v>80155.981546616778</v>
      </c>
    </row>
    <row r="55" spans="3:29">
      <c r="C55" t="s">
        <v>184</v>
      </c>
      <c r="D55">
        <f t="shared" ref="D55:D60" si="27">F8</f>
        <v>732.01809631613503</v>
      </c>
      <c r="E55">
        <f>N61</f>
        <v>0</v>
      </c>
      <c r="F55">
        <f>M61</f>
        <v>15.121115472166542</v>
      </c>
      <c r="H55" s="1"/>
      <c r="I55" s="1" t="s">
        <v>21</v>
      </c>
      <c r="J55" s="2">
        <f t="shared" ref="J55:J60" si="28">I8</f>
        <v>4.0500000000000001E-2</v>
      </c>
      <c r="K55">
        <f t="shared" ref="K55:K61" si="29">$D$55*J55</f>
        <v>29.646732900803471</v>
      </c>
      <c r="L55">
        <f>X8</f>
        <v>12.010999999999999</v>
      </c>
      <c r="M55">
        <f>K55/L55</f>
        <v>2.4682984681378297</v>
      </c>
      <c r="S55" s="6">
        <v>1</v>
      </c>
      <c r="T55">
        <f>U55/1000</f>
        <v>1000</v>
      </c>
      <c r="U55">
        <v>1000000</v>
      </c>
      <c r="V55" t="s">
        <v>186</v>
      </c>
      <c r="W55" s="69">
        <v>20</v>
      </c>
      <c r="X55" t="s">
        <v>185</v>
      </c>
      <c r="Y55" s="70">
        <f>W55/$U$55</f>
        <v>2.0000000000000002E-5</v>
      </c>
      <c r="Z55">
        <f t="shared" ref="Z55:Z59" si="30">F9</f>
        <v>0.97941287086010076</v>
      </c>
      <c r="AA55" s="69">
        <f t="shared" ref="AA55:AA59" si="31">Y55*Z55</f>
        <v>1.9588257417202018E-5</v>
      </c>
      <c r="AB55" s="69">
        <f t="shared" ref="AB55:AB63" si="32">$T$52*AA55</f>
        <v>1.9588257417202017E-2</v>
      </c>
      <c r="AC55" s="71">
        <f t="shared" ref="AC55:AC64" si="33">AB55*365</f>
        <v>7.1497139572787365</v>
      </c>
    </row>
    <row r="56" spans="3:29">
      <c r="C56" t="s">
        <v>186</v>
      </c>
      <c r="D56">
        <f t="shared" si="27"/>
        <v>0.97941287086010076</v>
      </c>
      <c r="E56">
        <f>X14</f>
        <v>56.076999999999998</v>
      </c>
      <c r="F56">
        <f>D56/E56</f>
        <v>1.7465500487902363E-2</v>
      </c>
      <c r="H56" s="1"/>
      <c r="I56" s="1" t="s">
        <v>25</v>
      </c>
      <c r="J56" s="2">
        <f t="shared" si="28"/>
        <v>5.0000000000000001E-3</v>
      </c>
      <c r="K56">
        <f t="shared" si="29"/>
        <v>3.6600904815806752</v>
      </c>
      <c r="L56">
        <f>X9</f>
        <v>28.085999999999999</v>
      </c>
      <c r="M56">
        <f t="shared" ref="M56:M60" si="34">K56/L56</f>
        <v>0.13031725705264813</v>
      </c>
      <c r="S56" s="6"/>
      <c r="V56" t="s">
        <v>22</v>
      </c>
      <c r="W56" s="69">
        <v>10</v>
      </c>
      <c r="X56" t="s">
        <v>187</v>
      </c>
      <c r="Y56" s="70">
        <f>W56/1000</f>
        <v>0.01</v>
      </c>
      <c r="Z56">
        <f t="shared" si="30"/>
        <v>180.8049504723146</v>
      </c>
      <c r="AA56" s="69">
        <f t="shared" si="31"/>
        <v>1.808049504723146</v>
      </c>
      <c r="AB56" s="69">
        <f t="shared" si="32"/>
        <v>1808.0495047231459</v>
      </c>
      <c r="AC56" s="71">
        <f t="shared" si="33"/>
        <v>659938.06922394829</v>
      </c>
    </row>
    <row r="57" spans="3:29">
      <c r="C57" t="s">
        <v>22</v>
      </c>
      <c r="D57">
        <f t="shared" si="27"/>
        <v>180.8049504723146</v>
      </c>
      <c r="E57">
        <v>51.996000000000002</v>
      </c>
      <c r="F57">
        <f t="shared" ref="F57:F60" si="35">D57/E57</f>
        <v>3.4772857618338833</v>
      </c>
      <c r="H57" s="1"/>
      <c r="I57" s="1" t="s">
        <v>30</v>
      </c>
      <c r="J57" s="2">
        <f t="shared" si="28"/>
        <v>5.0000000000000001E-4</v>
      </c>
      <c r="K57">
        <f t="shared" si="29"/>
        <v>0.36600904815806751</v>
      </c>
      <c r="L57">
        <f>X10</f>
        <v>30.974</v>
      </c>
      <c r="M57">
        <f t="shared" si="34"/>
        <v>1.1816654231228369E-2</v>
      </c>
      <c r="S57" s="6" t="s">
        <v>188</v>
      </c>
      <c r="V57" t="s">
        <v>46</v>
      </c>
      <c r="W57" s="69">
        <v>20</v>
      </c>
      <c r="X57" t="s">
        <v>187</v>
      </c>
      <c r="Y57" s="70">
        <f>W57/1000</f>
        <v>0.02</v>
      </c>
      <c r="Z57">
        <f>F11</f>
        <v>112.88211749682708</v>
      </c>
      <c r="AA57" s="69">
        <f t="shared" si="31"/>
        <v>2.2576423499365417</v>
      </c>
      <c r="AB57" s="69">
        <f t="shared" si="32"/>
        <v>2257.6423499365415</v>
      </c>
      <c r="AC57" s="71">
        <f t="shared" si="33"/>
        <v>824039.4577268376</v>
      </c>
    </row>
    <row r="58" spans="3:29">
      <c r="C58" t="s">
        <v>46</v>
      </c>
      <c r="D58">
        <f t="shared" si="27"/>
        <v>112.88211749682708</v>
      </c>
      <c r="E58">
        <v>58.692999999999998</v>
      </c>
      <c r="F58">
        <f t="shared" si="35"/>
        <v>1.9232637196399414</v>
      </c>
      <c r="H58" s="1"/>
      <c r="I58" s="1" t="s">
        <v>36</v>
      </c>
      <c r="J58" s="2">
        <f t="shared" si="28"/>
        <v>0.9456</v>
      </c>
      <c r="K58">
        <f t="shared" si="29"/>
        <v>692.19631187653727</v>
      </c>
      <c r="L58">
        <v>55.844999999999999</v>
      </c>
      <c r="M58">
        <f t="shared" si="34"/>
        <v>12.39495589357216</v>
      </c>
      <c r="S58" s="6"/>
      <c r="V58" t="s">
        <v>65</v>
      </c>
      <c r="W58" s="69">
        <v>78</v>
      </c>
      <c r="X58" t="s">
        <v>187</v>
      </c>
      <c r="Y58" s="70">
        <f>W58/1000</f>
        <v>7.8E-2</v>
      </c>
      <c r="Z58">
        <f t="shared" si="30"/>
        <v>20.67599190316006</v>
      </c>
      <c r="AA58" s="69">
        <f t="shared" si="31"/>
        <v>1.6127273684464847</v>
      </c>
      <c r="AB58" s="69">
        <f t="shared" si="32"/>
        <v>1612.7273684464847</v>
      </c>
      <c r="AC58" s="71">
        <f t="shared" si="33"/>
        <v>588645.48948296695</v>
      </c>
    </row>
    <row r="59" spans="3:29">
      <c r="C59" t="s">
        <v>65</v>
      </c>
      <c r="D59">
        <f t="shared" si="27"/>
        <v>20.67599190316006</v>
      </c>
      <c r="E59">
        <v>95.95</v>
      </c>
      <c r="F59">
        <f t="shared" si="35"/>
        <v>0.21548714854778592</v>
      </c>
      <c r="H59" s="1"/>
      <c r="I59" s="1" t="s">
        <v>39</v>
      </c>
      <c r="J59" s="2">
        <f t="shared" si="28"/>
        <v>4.0000000000000002E-4</v>
      </c>
      <c r="K59">
        <f t="shared" si="29"/>
        <v>0.29280723852645402</v>
      </c>
      <c r="L59">
        <f>X11</f>
        <v>32.064999999999998</v>
      </c>
      <c r="M59">
        <f t="shared" si="34"/>
        <v>9.1316774840621874E-3</v>
      </c>
      <c r="S59" s="6"/>
      <c r="V59" t="s">
        <v>50</v>
      </c>
      <c r="W59" s="69">
        <v>0</v>
      </c>
      <c r="X59" t="s">
        <v>189</v>
      </c>
      <c r="Y59" s="70">
        <f>W59</f>
        <v>0</v>
      </c>
      <c r="Z59">
        <f t="shared" si="30"/>
        <v>53.432413288034375</v>
      </c>
      <c r="AA59" s="69">
        <f t="shared" si="31"/>
        <v>0</v>
      </c>
      <c r="AB59" s="69">
        <f t="shared" si="32"/>
        <v>0</v>
      </c>
      <c r="AC59" s="71">
        <f t="shared" si="33"/>
        <v>0</v>
      </c>
    </row>
    <row r="60" spans="3:29">
      <c r="C60" t="s">
        <v>50</v>
      </c>
      <c r="D60">
        <f t="shared" si="27"/>
        <v>53.432413288034375</v>
      </c>
      <c r="E60">
        <f>X13</f>
        <v>31.998000000000001</v>
      </c>
      <c r="F60">
        <f t="shared" si="35"/>
        <v>1.6698672819561964</v>
      </c>
      <c r="H60" s="1"/>
      <c r="I60" s="1" t="s">
        <v>47</v>
      </c>
      <c r="J60" s="2">
        <f t="shared" si="28"/>
        <v>8.0000000000000002E-3</v>
      </c>
      <c r="K60">
        <f t="shared" si="29"/>
        <v>5.8561447705290801</v>
      </c>
      <c r="L60">
        <f>X12</f>
        <v>54.938000000000002</v>
      </c>
      <c r="M60">
        <f t="shared" si="34"/>
        <v>0.10659552168861407</v>
      </c>
      <c r="S60" s="6"/>
      <c r="V60" t="s">
        <v>190</v>
      </c>
      <c r="Y60" s="70">
        <f>SUM(Y54:Y59)</f>
        <v>0.10832</v>
      </c>
      <c r="AA60" s="69">
        <f>SUM(AA54:AA59)</f>
        <v>5.8980442402584297</v>
      </c>
      <c r="AB60" s="69">
        <f t="shared" si="32"/>
        <v>5898.0442402584295</v>
      </c>
      <c r="AC60" s="71">
        <f t="shared" si="33"/>
        <v>2152786.1476943269</v>
      </c>
    </row>
    <row r="61" spans="3:29">
      <c r="C61" t="s">
        <v>31</v>
      </c>
      <c r="D61">
        <f>SUM(D55:D60)</f>
        <v>1100.7929823473314</v>
      </c>
      <c r="E61">
        <f>D61/F61</f>
        <v>49.088886010564146</v>
      </c>
      <c r="F61">
        <f>SUM(F55:F60)</f>
        <v>22.424484884632253</v>
      </c>
      <c r="H61" s="1"/>
      <c r="I61" s="1" t="s">
        <v>31</v>
      </c>
      <c r="J61" s="2">
        <f>SUM(J55:J60)</f>
        <v>1</v>
      </c>
      <c r="K61">
        <f t="shared" si="29"/>
        <v>732.01809631613503</v>
      </c>
      <c r="L61"/>
      <c r="M61">
        <f>SUM(M55:M60)</f>
        <v>15.121115472166542</v>
      </c>
      <c r="S61" s="6"/>
      <c r="V61" t="s">
        <v>142</v>
      </c>
      <c r="Z61" t="s">
        <v>191</v>
      </c>
      <c r="AA61" t="s">
        <v>192</v>
      </c>
      <c r="AB61" s="69"/>
      <c r="AC61" s="71">
        <f t="shared" si="33"/>
        <v>0</v>
      </c>
    </row>
    <row r="62" spans="3:29">
      <c r="H62" s="1"/>
      <c r="L62"/>
      <c r="M62" s="2"/>
      <c r="S62" s="6"/>
      <c r="V62" t="s">
        <v>66</v>
      </c>
      <c r="W62" s="69">
        <v>6000</v>
      </c>
      <c r="X62" t="s">
        <v>185</v>
      </c>
      <c r="Y62" s="70">
        <f>W62/U55</f>
        <v>6.0000000000000001E-3</v>
      </c>
      <c r="Z62">
        <f>W23</f>
        <v>1000.0000000260961</v>
      </c>
      <c r="AA62" s="69">
        <f>Y62*Z62</f>
        <v>6.000000000156577</v>
      </c>
      <c r="AB62" s="69">
        <f t="shared" si="32"/>
        <v>6000.0000001565768</v>
      </c>
      <c r="AC62" s="71">
        <f t="shared" si="33"/>
        <v>2190000.0000571506</v>
      </c>
    </row>
    <row r="63" spans="3:29">
      <c r="C63" t="s">
        <v>193</v>
      </c>
      <c r="I63" t="s">
        <v>194</v>
      </c>
      <c r="L63"/>
      <c r="N63" s="1"/>
      <c r="S63" s="64" t="s">
        <v>195</v>
      </c>
      <c r="T63" s="77">
        <f>AB64-AB60</f>
        <v>106.93082269229944</v>
      </c>
      <c r="V63" t="s">
        <v>196</v>
      </c>
      <c r="W63" s="69">
        <v>60</v>
      </c>
      <c r="X63" t="s">
        <v>185</v>
      </c>
      <c r="Y63" s="70">
        <f>W63/$U$55</f>
        <v>6.0000000000000002E-5</v>
      </c>
      <c r="Z63">
        <f>S47</f>
        <v>82.917713235872498</v>
      </c>
      <c r="AA63" s="69">
        <f>Y63*Z63</f>
        <v>4.9750627941523504E-3</v>
      </c>
      <c r="AB63" s="69">
        <f t="shared" si="32"/>
        <v>4.9750627941523504</v>
      </c>
      <c r="AC63" s="71">
        <f t="shared" si="33"/>
        <v>1815.8979198656079</v>
      </c>
    </row>
    <row r="64" spans="3:29">
      <c r="C64" t="s">
        <v>16</v>
      </c>
      <c r="D64" t="s">
        <v>197</v>
      </c>
      <c r="E64" t="s">
        <v>17</v>
      </c>
      <c r="I64" t="s">
        <v>16</v>
      </c>
      <c r="J64" t="s">
        <v>19</v>
      </c>
      <c r="K64" t="s">
        <v>17</v>
      </c>
      <c r="L64" t="s">
        <v>180</v>
      </c>
      <c r="M64" t="s">
        <v>197</v>
      </c>
      <c r="N64" s="1" t="s">
        <v>198</v>
      </c>
      <c r="S64" s="78" t="s">
        <v>199</v>
      </c>
      <c r="T64" s="85">
        <f>T63*365</f>
        <v>39029.750282689296</v>
      </c>
      <c r="U64" s="10"/>
      <c r="V64" s="10" t="s">
        <v>190</v>
      </c>
      <c r="X64" s="10"/>
      <c r="Y64" s="72">
        <f>SUM(Y62:Y63)</f>
        <v>6.0600000000000003E-3</v>
      </c>
      <c r="Z64" s="10"/>
      <c r="AA64" s="73">
        <f>SUM(AA62:AA63)</f>
        <v>6.004975062950729</v>
      </c>
      <c r="AB64" s="73">
        <f>$T$52*AA64</f>
        <v>6004.9750629507289</v>
      </c>
      <c r="AC64" s="74">
        <f t="shared" si="33"/>
        <v>2191815.8979770159</v>
      </c>
    </row>
    <row r="65" spans="3:29">
      <c r="C65" t="s">
        <v>94</v>
      </c>
      <c r="D65" s="2">
        <f t="shared" ref="D65:D77" si="36">I23</f>
        <v>4.1789812927435263E-2</v>
      </c>
      <c r="E65">
        <f>E60</f>
        <v>31.998000000000001</v>
      </c>
      <c r="I65" t="s">
        <v>21</v>
      </c>
      <c r="J65">
        <f>W18</f>
        <v>0.59575323694904614</v>
      </c>
      <c r="K65">
        <f>L55</f>
        <v>12.010999999999999</v>
      </c>
      <c r="L65">
        <f>J65/K65</f>
        <v>4.9600635829576738E-2</v>
      </c>
      <c r="M65" s="29">
        <f>X18</f>
        <v>5.9575323693349927E-4</v>
      </c>
      <c r="N65" s="86">
        <f>M65*K65</f>
        <v>7.1555921288082589E-3</v>
      </c>
      <c r="W65" s="56"/>
    </row>
    <row r="66" spans="3:29">
      <c r="C66" t="s">
        <v>21</v>
      </c>
      <c r="D66" s="2">
        <f t="shared" si="36"/>
        <v>2.3269113831063296E-2</v>
      </c>
      <c r="E66">
        <f>L55</f>
        <v>12.010999999999999</v>
      </c>
      <c r="I66" t="s">
        <v>22</v>
      </c>
      <c r="J66">
        <f>W19</f>
        <v>179.30426938339818</v>
      </c>
      <c r="K66">
        <f>E57</f>
        <v>51.996000000000002</v>
      </c>
      <c r="L66">
        <f t="shared" ref="L66:L69" si="37">J66/K66</f>
        <v>3.4484242900107347</v>
      </c>
      <c r="M66" s="29">
        <f>X19</f>
        <v>0.17930426937871904</v>
      </c>
      <c r="N66" s="86">
        <f t="shared" ref="N66:N69" si="38">M66*K66</f>
        <v>9.3231047906158757</v>
      </c>
      <c r="W66" s="56"/>
    </row>
    <row r="67" spans="3:29">
      <c r="C67" t="s">
        <v>25</v>
      </c>
      <c r="D67" s="2">
        <f t="shared" si="36"/>
        <v>2.8625788563623683E-3</v>
      </c>
      <c r="E67">
        <f t="shared" ref="E67:E71" si="39">L56</f>
        <v>28.085999999999999</v>
      </c>
      <c r="I67" t="s">
        <v>46</v>
      </c>
      <c r="J67">
        <f>W20</f>
        <v>107.23801162198799</v>
      </c>
      <c r="K67">
        <f>E58</f>
        <v>58.692999999999998</v>
      </c>
      <c r="L67">
        <f t="shared" si="37"/>
        <v>1.8271005336579831</v>
      </c>
      <c r="M67" s="29">
        <f>X20</f>
        <v>0.1072380116191895</v>
      </c>
      <c r="N67" s="86">
        <f t="shared" si="38"/>
        <v>6.2941206159650891</v>
      </c>
      <c r="S67" s="3" t="s">
        <v>200</v>
      </c>
      <c r="T67" s="4"/>
      <c r="U67" s="4"/>
      <c r="V67" s="4"/>
      <c r="X67" s="4"/>
      <c r="Y67" s="4"/>
      <c r="Z67" s="4"/>
      <c r="AA67" s="4"/>
      <c r="AB67" s="4"/>
      <c r="AC67" s="5"/>
    </row>
    <row r="68" spans="3:29">
      <c r="C68" t="s">
        <v>30</v>
      </c>
      <c r="D68" s="2">
        <f t="shared" si="36"/>
        <v>3.7120736854372676E-4</v>
      </c>
      <c r="E68">
        <f t="shared" si="39"/>
        <v>30.974</v>
      </c>
      <c r="I68" t="s">
        <v>65</v>
      </c>
      <c r="J68">
        <f>W21</f>
        <v>20.665653907208917</v>
      </c>
      <c r="K68">
        <f>E59</f>
        <v>95.95</v>
      </c>
      <c r="L68">
        <f t="shared" si="37"/>
        <v>0.21537940497351657</v>
      </c>
      <c r="M68" s="29">
        <f>X21</f>
        <v>2.0665653906669624E-2</v>
      </c>
      <c r="N68" s="86">
        <f t="shared" si="38"/>
        <v>1.9828694923449506</v>
      </c>
      <c r="S68" s="6" t="s">
        <v>169</v>
      </c>
      <c r="T68">
        <v>1000</v>
      </c>
      <c r="V68" t="s">
        <v>170</v>
      </c>
      <c r="AC68" s="7"/>
    </row>
    <row r="69" spans="3:29">
      <c r="C69" t="s">
        <v>36</v>
      </c>
      <c r="D69" s="2">
        <f t="shared" si="36"/>
        <v>0.63690695684148535</v>
      </c>
      <c r="E69">
        <f t="shared" si="39"/>
        <v>55.844999999999999</v>
      </c>
      <c r="I69" t="s">
        <v>36</v>
      </c>
      <c r="J69">
        <f>W22</f>
        <v>692.19631187655193</v>
      </c>
      <c r="K69">
        <f>L58</f>
        <v>55.844999999999999</v>
      </c>
      <c r="L69">
        <f t="shared" si="37"/>
        <v>12.394955893572423</v>
      </c>
      <c r="M69" s="29">
        <f>X22</f>
        <v>0.69219631185848829</v>
      </c>
      <c r="N69" s="86">
        <f t="shared" si="38"/>
        <v>38.655703035737275</v>
      </c>
      <c r="S69" s="6" t="s">
        <v>172</v>
      </c>
      <c r="V69" t="s">
        <v>16</v>
      </c>
      <c r="W69" t="s">
        <v>173</v>
      </c>
      <c r="X69" t="s">
        <v>174</v>
      </c>
      <c r="Y69" t="s">
        <v>175</v>
      </c>
      <c r="Z69" t="s">
        <v>176</v>
      </c>
      <c r="AA69" t="s">
        <v>177</v>
      </c>
      <c r="AB69" t="s">
        <v>178</v>
      </c>
      <c r="AC69" s="7" t="s">
        <v>179</v>
      </c>
    </row>
    <row r="70" spans="3:29">
      <c r="C70" t="s">
        <v>39</v>
      </c>
      <c r="D70" s="2">
        <f t="shared" si="36"/>
        <v>4.6939485517907392E-4</v>
      </c>
      <c r="E70">
        <f t="shared" si="39"/>
        <v>32.064999999999998</v>
      </c>
      <c r="I70" t="s">
        <v>31</v>
      </c>
      <c r="J70">
        <f>SUM(J65:J69)</f>
        <v>1000.0000000260961</v>
      </c>
      <c r="L70">
        <f>SUM(L65:L69)</f>
        <v>17.935460758044233</v>
      </c>
      <c r="M70" s="2">
        <f>SUM(M65:M69)</f>
        <v>1</v>
      </c>
      <c r="N70">
        <f>SUM(N65:N69)</f>
        <v>56.262953526792003</v>
      </c>
      <c r="S70" s="6" t="s">
        <v>183</v>
      </c>
      <c r="V70" t="s">
        <v>184</v>
      </c>
      <c r="W70" s="69">
        <v>250</v>
      </c>
      <c r="X70" t="s">
        <v>185</v>
      </c>
      <c r="Y70" s="70">
        <f>W70/$U$55</f>
        <v>2.5000000000000001E-4</v>
      </c>
      <c r="Z70">
        <f>F8</f>
        <v>732.01809631613503</v>
      </c>
      <c r="AA70" s="69">
        <f>Y70*Z70</f>
        <v>0.18300452407903375</v>
      </c>
      <c r="AB70" s="69">
        <f>$T$52*AA70</f>
        <v>183.00452407903376</v>
      </c>
      <c r="AC70" s="71">
        <f>AB70*365</f>
        <v>66796.651288847323</v>
      </c>
    </row>
    <row r="71" spans="3:29">
      <c r="C71" t="s">
        <v>47</v>
      </c>
      <c r="D71" s="2">
        <f t="shared" si="36"/>
        <v>5.1640632724662934E-3</v>
      </c>
      <c r="E71">
        <f t="shared" si="39"/>
        <v>54.938000000000002</v>
      </c>
      <c r="S71" s="6">
        <v>1</v>
      </c>
      <c r="T71">
        <f>U71/1000</f>
        <v>1000</v>
      </c>
      <c r="U71">
        <v>1000000</v>
      </c>
      <c r="V71" t="s">
        <v>186</v>
      </c>
      <c r="W71" s="69">
        <v>20</v>
      </c>
      <c r="X71" t="s">
        <v>185</v>
      </c>
      <c r="Y71" s="70">
        <f>W71/$U$55</f>
        <v>2.0000000000000002E-5</v>
      </c>
      <c r="Z71">
        <f t="shared" ref="Z71:Z75" si="40">F9</f>
        <v>0.97941287086010076</v>
      </c>
      <c r="AA71" s="69">
        <f t="shared" ref="AA71:AA75" si="41">Y71*Z71</f>
        <v>1.9588257417202018E-5</v>
      </c>
      <c r="AB71" s="69">
        <f t="shared" ref="AB71:AB76" si="42">$T$52*AA71</f>
        <v>1.9588257417202017E-2</v>
      </c>
      <c r="AC71" s="71">
        <f t="shared" ref="AC71:AC80" si="43">AB71*365</f>
        <v>7.1497139572787365</v>
      </c>
    </row>
    <row r="72" spans="3:29">
      <c r="C72" t="s">
        <v>22</v>
      </c>
      <c r="D72" s="2">
        <f t="shared" si="36"/>
        <v>0.16498229563238814</v>
      </c>
      <c r="E72">
        <f>E57</f>
        <v>51.996000000000002</v>
      </c>
      <c r="G72" s="2">
        <f>F15/F7</f>
        <v>0.90843602390496325</v>
      </c>
      <c r="S72" s="6"/>
      <c r="V72" t="s">
        <v>22</v>
      </c>
      <c r="W72" s="69">
        <v>5</v>
      </c>
      <c r="X72" t="s">
        <v>187</v>
      </c>
      <c r="Y72" s="70">
        <f>W72/1000</f>
        <v>5.0000000000000001E-3</v>
      </c>
      <c r="Z72">
        <f t="shared" si="40"/>
        <v>180.8049504723146</v>
      </c>
      <c r="AA72" s="69">
        <f t="shared" si="41"/>
        <v>0.90402475236157298</v>
      </c>
      <c r="AB72" s="69">
        <f t="shared" si="42"/>
        <v>904.02475236157295</v>
      </c>
      <c r="AC72" s="71">
        <f t="shared" si="43"/>
        <v>329969.03461197414</v>
      </c>
    </row>
    <row r="73" spans="3:29">
      <c r="C73" t="s">
        <v>46</v>
      </c>
      <c r="D73" s="2">
        <f t="shared" si="36"/>
        <v>9.8672348390196452E-2</v>
      </c>
      <c r="E73">
        <f t="shared" ref="E73:E74" si="44">E58</f>
        <v>58.692999999999998</v>
      </c>
      <c r="S73" s="6" t="s">
        <v>188</v>
      </c>
      <c r="V73" t="s">
        <v>46</v>
      </c>
      <c r="W73" s="69">
        <v>10</v>
      </c>
      <c r="X73" t="s">
        <v>187</v>
      </c>
      <c r="Y73" s="70">
        <f>W73/1000</f>
        <v>0.01</v>
      </c>
      <c r="Z73">
        <f t="shared" si="40"/>
        <v>112.88211749682708</v>
      </c>
      <c r="AA73" s="69">
        <f t="shared" si="41"/>
        <v>1.1288211749682708</v>
      </c>
      <c r="AB73" s="69">
        <f t="shared" si="42"/>
        <v>1128.8211749682707</v>
      </c>
      <c r="AC73" s="71">
        <f t="shared" si="43"/>
        <v>412019.7288634188</v>
      </c>
    </row>
    <row r="74" spans="3:29">
      <c r="C74" t="s">
        <v>65</v>
      </c>
      <c r="D74" s="2">
        <f t="shared" si="36"/>
        <v>1.9014979587939709E-2</v>
      </c>
      <c r="E74">
        <f t="shared" si="44"/>
        <v>95.95</v>
      </c>
      <c r="S74" s="6"/>
      <c r="V74" t="s">
        <v>65</v>
      </c>
      <c r="W74" s="69">
        <v>55</v>
      </c>
      <c r="X74" t="s">
        <v>187</v>
      </c>
      <c r="Y74" s="70">
        <f>W74/1000</f>
        <v>5.5E-2</v>
      </c>
      <c r="Z74">
        <f t="shared" si="40"/>
        <v>20.67599190316006</v>
      </c>
      <c r="AA74" s="69">
        <f t="shared" si="41"/>
        <v>1.1371795546738033</v>
      </c>
      <c r="AB74" s="69">
        <f t="shared" si="42"/>
        <v>1137.1795546738033</v>
      </c>
      <c r="AC74" s="71">
        <f t="shared" si="43"/>
        <v>415070.53745593817</v>
      </c>
    </row>
    <row r="75" spans="3:29">
      <c r="C75" t="s">
        <v>59</v>
      </c>
      <c r="D75" s="2">
        <f t="shared" si="36"/>
        <v>9.0118202071864234E-4</v>
      </c>
      <c r="E75">
        <f>E56</f>
        <v>56.076999999999998</v>
      </c>
      <c r="S75" s="6"/>
      <c r="V75" t="s">
        <v>50</v>
      </c>
      <c r="W75" s="69">
        <v>0</v>
      </c>
      <c r="X75" t="s">
        <v>189</v>
      </c>
      <c r="Y75" s="70">
        <f>W75</f>
        <v>0</v>
      </c>
      <c r="Z75">
        <f t="shared" si="40"/>
        <v>53.432413288034375</v>
      </c>
      <c r="AA75" s="69">
        <f t="shared" si="41"/>
        <v>0</v>
      </c>
      <c r="AB75" s="69">
        <f t="shared" si="42"/>
        <v>0</v>
      </c>
      <c r="AC75" s="71">
        <f t="shared" si="43"/>
        <v>0</v>
      </c>
    </row>
    <row r="76" spans="3:29">
      <c r="C76" t="s">
        <v>26</v>
      </c>
      <c r="D76" s="2">
        <f t="shared" si="36"/>
        <v>5.5960664162214716E-3</v>
      </c>
      <c r="E76">
        <f>50</f>
        <v>50</v>
      </c>
      <c r="S76" s="6"/>
      <c r="V76" t="s">
        <v>190</v>
      </c>
      <c r="Y76" s="70">
        <f>SUM(Y70:Y75)</f>
        <v>7.0269999999999999E-2</v>
      </c>
      <c r="AA76" s="69">
        <f>SUM(AA70:AA75)</f>
        <v>3.3530495943400984</v>
      </c>
      <c r="AB76" s="69">
        <f t="shared" si="42"/>
        <v>3353.0495943400983</v>
      </c>
      <c r="AC76" s="71">
        <f t="shared" si="43"/>
        <v>1223863.1019341359</v>
      </c>
    </row>
    <row r="77" spans="3:29">
      <c r="C77" t="s">
        <v>31</v>
      </c>
      <c r="D77" s="2">
        <f t="shared" si="36"/>
        <v>0.99999999999999989</v>
      </c>
      <c r="E77">
        <f>SUM(E65:E76)</f>
        <v>558.63299999999992</v>
      </c>
      <c r="S77" s="6"/>
      <c r="V77" t="s">
        <v>142</v>
      </c>
      <c r="Z77" t="s">
        <v>191</v>
      </c>
      <c r="AA77" t="s">
        <v>192</v>
      </c>
      <c r="AB77" s="69"/>
      <c r="AC77" s="71">
        <f t="shared" si="43"/>
        <v>0</v>
      </c>
    </row>
    <row r="78" spans="3:29">
      <c r="S78" s="6"/>
      <c r="V78" t="s">
        <v>66</v>
      </c>
      <c r="W78" s="69">
        <v>3500</v>
      </c>
      <c r="X78" t="s">
        <v>185</v>
      </c>
      <c r="Y78" s="70">
        <f>W78/U71</f>
        <v>3.5000000000000001E-3</v>
      </c>
      <c r="Z78">
        <f>Z62</f>
        <v>1000.0000000260961</v>
      </c>
      <c r="AA78" s="69">
        <f>Y78*Z78</f>
        <v>3.5000000000913367</v>
      </c>
      <c r="AB78" s="69">
        <f t="shared" ref="AB78:AB79" si="45">$T$52*AA78</f>
        <v>3500.0000000913369</v>
      </c>
      <c r="AC78" s="71">
        <f t="shared" si="43"/>
        <v>1277500.0000333381</v>
      </c>
    </row>
    <row r="79" spans="3:29">
      <c r="S79" s="64" t="s">
        <v>195</v>
      </c>
      <c r="T79" s="77">
        <f>AB80-AB76</f>
        <v>151.92546854539069</v>
      </c>
      <c r="V79" t="s">
        <v>196</v>
      </c>
      <c r="W79" s="69">
        <v>60</v>
      </c>
      <c r="X79" t="s">
        <v>185</v>
      </c>
      <c r="Y79" s="70">
        <f>W79/$U$55</f>
        <v>6.0000000000000002E-5</v>
      </c>
      <c r="Z79">
        <f>Z63</f>
        <v>82.917713235872498</v>
      </c>
      <c r="AA79" s="69">
        <f>Y79*Z79</f>
        <v>4.9750627941523504E-3</v>
      </c>
      <c r="AB79" s="69">
        <f t="shared" si="45"/>
        <v>4.9750627941523504</v>
      </c>
      <c r="AC79" s="71">
        <f t="shared" si="43"/>
        <v>1815.8979198656079</v>
      </c>
    </row>
    <row r="80" spans="3:29">
      <c r="S80" s="78" t="s">
        <v>199</v>
      </c>
      <c r="T80" s="85">
        <f>T79*365</f>
        <v>55452.796019067602</v>
      </c>
      <c r="U80" s="10"/>
      <c r="V80" s="10" t="s">
        <v>190</v>
      </c>
      <c r="W80" s="10"/>
      <c r="X80" s="10"/>
      <c r="Y80" s="72">
        <f>SUM(Y78:Y79)</f>
        <v>3.5600000000000002E-3</v>
      </c>
      <c r="Z80" s="10"/>
      <c r="AA80" s="73">
        <f>SUM(AA78:AA79)</f>
        <v>3.5049750628854892</v>
      </c>
      <c r="AB80" s="73">
        <f>$T$52*AA80</f>
        <v>3504.975062885489</v>
      </c>
      <c r="AC80" s="74">
        <f t="shared" si="43"/>
        <v>1279315.8979532034</v>
      </c>
    </row>
  </sheetData>
  <mergeCells count="5">
    <mergeCell ref="N38:O38"/>
    <mergeCell ref="L36:O37"/>
    <mergeCell ref="H5:I5"/>
    <mergeCell ref="S19:T19"/>
    <mergeCell ref="I39:J39"/>
  </mergeCells>
  <pageMargins left="0.7" right="0.7" top="0.75" bottom="0.75" header="0.3" footer="0.3"/>
  <ignoredErrors>
    <ignoredError sqref="S24 AC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A557CA1C696B4FB7CF2AEB8CE13A51" ma:contentTypeVersion="6" ma:contentTypeDescription="Create a new document." ma:contentTypeScope="" ma:versionID="388168c0959e6b490edb02146d74a7fb">
  <xsd:schema xmlns:xsd="http://www.w3.org/2001/XMLSchema" xmlns:xs="http://www.w3.org/2001/XMLSchema" xmlns:p="http://schemas.microsoft.com/office/2006/metadata/properties" xmlns:ns3="d93ffbf1-7f85-49bf-96ee-6adcaf52f9c2" targetNamespace="http://schemas.microsoft.com/office/2006/metadata/properties" ma:root="true" ma:fieldsID="833d1ce8525601e6e37d6f1de57438d9" ns3:_="">
    <xsd:import namespace="d93ffbf1-7f85-49bf-96ee-6adcaf52f9c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3ffbf1-7f85-49bf-96ee-6adcaf52f9c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93ffbf1-7f85-49bf-96ee-6adcaf52f9c2" xsi:nil="true"/>
  </documentManagement>
</p:properties>
</file>

<file path=customXml/itemProps1.xml><?xml version="1.0" encoding="utf-8"?>
<ds:datastoreItem xmlns:ds="http://schemas.openxmlformats.org/officeDocument/2006/customXml" ds:itemID="{D86B0AED-E40B-4956-BA6E-F899A885EF1B}"/>
</file>

<file path=customXml/itemProps2.xml><?xml version="1.0" encoding="utf-8"?>
<ds:datastoreItem xmlns:ds="http://schemas.openxmlformats.org/officeDocument/2006/customXml" ds:itemID="{A7E19667-8C72-492E-A6DA-3878B1C043F8}"/>
</file>

<file path=customXml/itemProps3.xml><?xml version="1.0" encoding="utf-8"?>
<ds:datastoreItem xmlns:ds="http://schemas.openxmlformats.org/officeDocument/2006/customXml" ds:itemID="{E6D13860-701D-47CA-B3B7-5725822CFB1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logan kuhn</dc:creator>
  <cp:keywords/>
  <dc:description/>
  <cp:lastModifiedBy/>
  <cp:revision/>
  <dcterms:created xsi:type="dcterms:W3CDTF">2025-11-09T13:00:32Z</dcterms:created>
  <dcterms:modified xsi:type="dcterms:W3CDTF">2025-12-23T04:57:57Z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0x01010074A557CA1C696B4FB7CF2AEB8CE13A51</vt:lpwstr>
  </property>
</Properties>
</file>